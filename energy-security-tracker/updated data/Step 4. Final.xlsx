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omcps/Documents/Business/Adam Smith/Energy Security Index 2026/"/>
    </mc:Choice>
  </mc:AlternateContent>
  <xr:revisionPtr revIDLastSave="0" documentId="8_{0C9EC620-ED98-6740-8FE2-B78D1761F216}" xr6:coauthVersionLast="47" xr6:coauthVersionMax="47" xr10:uidLastSave="{00000000-0000-0000-0000-000000000000}"/>
  <bookViews>
    <workbookView xWindow="0" yWindow="580" windowWidth="25600" windowHeight="14320" xr2:uid="{00000000-000D-0000-FFFF-FFFF00000000}"/>
  </bookViews>
  <sheets>
    <sheet name="README" sheetId="1" r:id="rId1"/>
    <sheet name="Parameters" sheetId="2" r:id="rId2"/>
    <sheet name="Step 3 Eligibility" sheetId="3" r:id="rId3"/>
    <sheet name="GDP Source - Filtered" sheetId="4" r:id="rId4"/>
    <sheet name="Step 4 Results" sheetId="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5" l="1"/>
  <c r="I189" i="5"/>
  <c r="D189" i="5"/>
  <c r="E189" i="5" s="1"/>
  <c r="C189" i="5"/>
  <c r="B189" i="5"/>
  <c r="A189" i="5"/>
  <c r="J188" i="5"/>
  <c r="I188" i="5"/>
  <c r="D188" i="5"/>
  <c r="E188" i="5" s="1"/>
  <c r="C188" i="5"/>
  <c r="B188" i="5"/>
  <c r="A188" i="5"/>
  <c r="J187" i="5"/>
  <c r="I187" i="5"/>
  <c r="E187" i="5"/>
  <c r="D187" i="5"/>
  <c r="C187" i="5"/>
  <c r="B187" i="5"/>
  <c r="A187" i="5"/>
  <c r="J186" i="5"/>
  <c r="I186" i="5"/>
  <c r="D186" i="5"/>
  <c r="E186" i="5" s="1"/>
  <c r="C186" i="5"/>
  <c r="B186" i="5"/>
  <c r="A186" i="5"/>
  <c r="J185" i="5"/>
  <c r="I185" i="5"/>
  <c r="E185" i="5"/>
  <c r="D185" i="5"/>
  <c r="C185" i="5"/>
  <c r="B185" i="5"/>
  <c r="A185" i="5"/>
  <c r="J184" i="5"/>
  <c r="I184" i="5"/>
  <c r="E184" i="5"/>
  <c r="D184" i="5"/>
  <c r="C184" i="5"/>
  <c r="B184" i="5"/>
  <c r="A184" i="5"/>
  <c r="J183" i="5"/>
  <c r="I183" i="5"/>
  <c r="D183" i="5"/>
  <c r="E183" i="5" s="1"/>
  <c r="C183" i="5"/>
  <c r="B183" i="5"/>
  <c r="A183" i="5"/>
  <c r="J182" i="5"/>
  <c r="I182" i="5"/>
  <c r="D182" i="5"/>
  <c r="E182" i="5" s="1"/>
  <c r="C182" i="5"/>
  <c r="B182" i="5"/>
  <c r="A182" i="5"/>
  <c r="J181" i="5"/>
  <c r="I181" i="5"/>
  <c r="D181" i="5"/>
  <c r="E181" i="5" s="1"/>
  <c r="C181" i="5"/>
  <c r="B181" i="5"/>
  <c r="A181" i="5"/>
  <c r="J180" i="5"/>
  <c r="I180" i="5"/>
  <c r="D180" i="5"/>
  <c r="E180" i="5" s="1"/>
  <c r="C180" i="5"/>
  <c r="B180" i="5"/>
  <c r="A180" i="5"/>
  <c r="J179" i="5"/>
  <c r="I179" i="5"/>
  <c r="E179" i="5"/>
  <c r="D179" i="5"/>
  <c r="C179" i="5"/>
  <c r="B179" i="5"/>
  <c r="A179" i="5"/>
  <c r="J178" i="5"/>
  <c r="I178" i="5"/>
  <c r="D178" i="5"/>
  <c r="E178" i="5" s="1"/>
  <c r="C178" i="5"/>
  <c r="B178" i="5"/>
  <c r="A178" i="5"/>
  <c r="J177" i="5"/>
  <c r="I177" i="5"/>
  <c r="E177" i="5"/>
  <c r="D177" i="5"/>
  <c r="C177" i="5"/>
  <c r="B177" i="5"/>
  <c r="A177" i="5"/>
  <c r="J176" i="5"/>
  <c r="I176" i="5"/>
  <c r="E176" i="5"/>
  <c r="D176" i="5"/>
  <c r="C176" i="5"/>
  <c r="B176" i="5"/>
  <c r="A176" i="5"/>
  <c r="J175" i="5"/>
  <c r="I175" i="5"/>
  <c r="D175" i="5"/>
  <c r="E175" i="5" s="1"/>
  <c r="C175" i="5"/>
  <c r="B175" i="5"/>
  <c r="A175" i="5"/>
  <c r="J174" i="5"/>
  <c r="I174" i="5"/>
  <c r="D174" i="5"/>
  <c r="E174" i="5" s="1"/>
  <c r="C174" i="5"/>
  <c r="B174" i="5"/>
  <c r="A174" i="5"/>
  <c r="J173" i="5"/>
  <c r="I173" i="5"/>
  <c r="E173" i="5"/>
  <c r="D173" i="5"/>
  <c r="C173" i="5"/>
  <c r="B173" i="5"/>
  <c r="A173" i="5"/>
  <c r="J172" i="5"/>
  <c r="I172" i="5"/>
  <c r="D172" i="5"/>
  <c r="E172" i="5" s="1"/>
  <c r="C172" i="5"/>
  <c r="B172" i="5"/>
  <c r="A172" i="5"/>
  <c r="J171" i="5"/>
  <c r="I171" i="5"/>
  <c r="D171" i="5"/>
  <c r="E171" i="5" s="1"/>
  <c r="C171" i="5"/>
  <c r="B171" i="5"/>
  <c r="A171" i="5"/>
  <c r="J170" i="5"/>
  <c r="I170" i="5"/>
  <c r="D170" i="5"/>
  <c r="E170" i="5" s="1"/>
  <c r="C170" i="5"/>
  <c r="B170" i="5"/>
  <c r="A170" i="5"/>
  <c r="J169" i="5"/>
  <c r="I169" i="5"/>
  <c r="E169" i="5"/>
  <c r="D169" i="5"/>
  <c r="C169" i="5"/>
  <c r="B169" i="5"/>
  <c r="A169" i="5"/>
  <c r="J168" i="5"/>
  <c r="I168" i="5"/>
  <c r="D168" i="5"/>
  <c r="E168" i="5" s="1"/>
  <c r="C168" i="5"/>
  <c r="B168" i="5"/>
  <c r="A168" i="5"/>
  <c r="J167" i="5"/>
  <c r="I167" i="5"/>
  <c r="D167" i="5"/>
  <c r="E167" i="5" s="1"/>
  <c r="C167" i="5"/>
  <c r="B167" i="5"/>
  <c r="A167" i="5"/>
  <c r="J166" i="5"/>
  <c r="I166" i="5"/>
  <c r="D166" i="5"/>
  <c r="E166" i="5" s="1"/>
  <c r="C166" i="5"/>
  <c r="B166" i="5"/>
  <c r="A166" i="5"/>
  <c r="J165" i="5"/>
  <c r="I165" i="5"/>
  <c r="D165" i="5"/>
  <c r="E165" i="5" s="1"/>
  <c r="C165" i="5"/>
  <c r="B165" i="5"/>
  <c r="A165" i="5"/>
  <c r="J164" i="5"/>
  <c r="I164" i="5"/>
  <c r="E164" i="5"/>
  <c r="D164" i="5"/>
  <c r="C164" i="5"/>
  <c r="B164" i="5"/>
  <c r="A164" i="5"/>
  <c r="J163" i="5"/>
  <c r="I163" i="5"/>
  <c r="D163" i="5"/>
  <c r="E163" i="5" s="1"/>
  <c r="C163" i="5"/>
  <c r="B163" i="5"/>
  <c r="A163" i="5"/>
  <c r="J162" i="5"/>
  <c r="I162" i="5"/>
  <c r="E162" i="5"/>
  <c r="D162" i="5"/>
  <c r="C162" i="5"/>
  <c r="B162" i="5"/>
  <c r="A162" i="5"/>
  <c r="J161" i="5"/>
  <c r="I161" i="5"/>
  <c r="E161" i="5"/>
  <c r="D161" i="5"/>
  <c r="C161" i="5"/>
  <c r="B161" i="5"/>
  <c r="A161" i="5"/>
  <c r="J160" i="5"/>
  <c r="I160" i="5"/>
  <c r="D160" i="5"/>
  <c r="E160" i="5" s="1"/>
  <c r="C160" i="5"/>
  <c r="B160" i="5"/>
  <c r="A160" i="5"/>
  <c r="J159" i="5"/>
  <c r="I159" i="5"/>
  <c r="D159" i="5"/>
  <c r="E159" i="5" s="1"/>
  <c r="C159" i="5"/>
  <c r="B159" i="5"/>
  <c r="A159" i="5"/>
  <c r="J158" i="5"/>
  <c r="I158" i="5"/>
  <c r="D158" i="5"/>
  <c r="E158" i="5" s="1"/>
  <c r="C158" i="5"/>
  <c r="B158" i="5"/>
  <c r="A158" i="5"/>
  <c r="J157" i="5"/>
  <c r="I157" i="5"/>
  <c r="E157" i="5"/>
  <c r="D157" i="5"/>
  <c r="C157" i="5"/>
  <c r="B157" i="5"/>
  <c r="A157" i="5"/>
  <c r="J156" i="5"/>
  <c r="I156" i="5"/>
  <c r="D156" i="5"/>
  <c r="E156" i="5" s="1"/>
  <c r="C156" i="5"/>
  <c r="B156" i="5"/>
  <c r="A156" i="5"/>
  <c r="J155" i="5"/>
  <c r="I155" i="5"/>
  <c r="E155" i="5"/>
  <c r="D155" i="5"/>
  <c r="C155" i="5"/>
  <c r="B155" i="5"/>
  <c r="A155" i="5"/>
  <c r="J154" i="5"/>
  <c r="I154" i="5"/>
  <c r="D154" i="5"/>
  <c r="E154" i="5" s="1"/>
  <c r="C154" i="5"/>
  <c r="B154" i="5"/>
  <c r="A154" i="5"/>
  <c r="J153" i="5"/>
  <c r="I153" i="5"/>
  <c r="D153" i="5"/>
  <c r="E153" i="5" s="1"/>
  <c r="C153" i="5"/>
  <c r="B153" i="5"/>
  <c r="A153" i="5"/>
  <c r="J152" i="5"/>
  <c r="I152" i="5"/>
  <c r="D152" i="5"/>
  <c r="E152" i="5" s="1"/>
  <c r="C152" i="5"/>
  <c r="B152" i="5"/>
  <c r="A152" i="5"/>
  <c r="J151" i="5"/>
  <c r="I151" i="5"/>
  <c r="D151" i="5"/>
  <c r="E151" i="5" s="1"/>
  <c r="C151" i="5"/>
  <c r="B151" i="5"/>
  <c r="A151" i="5"/>
  <c r="J150" i="5"/>
  <c r="I150" i="5"/>
  <c r="D150" i="5"/>
  <c r="E150" i="5" s="1"/>
  <c r="C150" i="5"/>
  <c r="B150" i="5"/>
  <c r="A150" i="5"/>
  <c r="J149" i="5"/>
  <c r="I149" i="5"/>
  <c r="E149" i="5"/>
  <c r="D149" i="5"/>
  <c r="C149" i="5"/>
  <c r="B149" i="5"/>
  <c r="A149" i="5"/>
  <c r="J148" i="5"/>
  <c r="I148" i="5"/>
  <c r="E148" i="5"/>
  <c r="D148" i="5"/>
  <c r="C148" i="5"/>
  <c r="B148" i="5"/>
  <c r="A148" i="5"/>
  <c r="J147" i="5"/>
  <c r="I147" i="5"/>
  <c r="D147" i="5"/>
  <c r="E147" i="5" s="1"/>
  <c r="C147" i="5"/>
  <c r="B147" i="5"/>
  <c r="A147" i="5"/>
  <c r="J146" i="5"/>
  <c r="I146" i="5"/>
  <c r="D146" i="5"/>
  <c r="E146" i="5" s="1"/>
  <c r="C146" i="5"/>
  <c r="B146" i="5"/>
  <c r="A146" i="5"/>
  <c r="J145" i="5"/>
  <c r="I145" i="5"/>
  <c r="D145" i="5"/>
  <c r="E145" i="5" s="1"/>
  <c r="C145" i="5"/>
  <c r="B145" i="5"/>
  <c r="A145" i="5"/>
  <c r="J144" i="5"/>
  <c r="I144" i="5"/>
  <c r="D144" i="5"/>
  <c r="E144" i="5" s="1"/>
  <c r="C144" i="5"/>
  <c r="B144" i="5"/>
  <c r="A144" i="5"/>
  <c r="J143" i="5"/>
  <c r="I143" i="5"/>
  <c r="E143" i="5"/>
  <c r="D143" i="5"/>
  <c r="C143" i="5"/>
  <c r="B143" i="5"/>
  <c r="A143" i="5"/>
  <c r="J142" i="5"/>
  <c r="I142" i="5"/>
  <c r="D142" i="5"/>
  <c r="E142" i="5" s="1"/>
  <c r="C142" i="5"/>
  <c r="B142" i="5"/>
  <c r="A142" i="5"/>
  <c r="J141" i="5"/>
  <c r="I141" i="5"/>
  <c r="E141" i="5"/>
  <c r="D141" i="5"/>
  <c r="C141" i="5"/>
  <c r="B141" i="5"/>
  <c r="A141" i="5"/>
  <c r="J140" i="5"/>
  <c r="I140" i="5"/>
  <c r="D140" i="5"/>
  <c r="E140" i="5" s="1"/>
  <c r="C140" i="5"/>
  <c r="B140" i="5"/>
  <c r="A140" i="5"/>
  <c r="J139" i="5"/>
  <c r="I139" i="5"/>
  <c r="D139" i="5"/>
  <c r="E139" i="5" s="1"/>
  <c r="C139" i="5"/>
  <c r="B139" i="5"/>
  <c r="A139" i="5"/>
  <c r="J138" i="5"/>
  <c r="I138" i="5"/>
  <c r="D138" i="5"/>
  <c r="E138" i="5" s="1"/>
  <c r="C138" i="5"/>
  <c r="B138" i="5"/>
  <c r="A138" i="5"/>
  <c r="J137" i="5"/>
  <c r="I137" i="5"/>
  <c r="D137" i="5"/>
  <c r="E137" i="5" s="1"/>
  <c r="C137" i="5"/>
  <c r="B137" i="5"/>
  <c r="A137" i="5"/>
  <c r="J136" i="5"/>
  <c r="I136" i="5"/>
  <c r="E136" i="5"/>
  <c r="D136" i="5"/>
  <c r="C136" i="5"/>
  <c r="B136" i="5"/>
  <c r="A136" i="5"/>
  <c r="J135" i="5"/>
  <c r="I135" i="5"/>
  <c r="D135" i="5"/>
  <c r="E135" i="5" s="1"/>
  <c r="C135" i="5"/>
  <c r="B135" i="5"/>
  <c r="A135" i="5"/>
  <c r="J134" i="5"/>
  <c r="I134" i="5"/>
  <c r="D134" i="5"/>
  <c r="E134" i="5" s="1"/>
  <c r="C134" i="5"/>
  <c r="B134" i="5"/>
  <c r="A134" i="5"/>
  <c r="J133" i="5"/>
  <c r="I133" i="5"/>
  <c r="G133" i="5"/>
  <c r="E133" i="5"/>
  <c r="D133" i="5"/>
  <c r="C133" i="5"/>
  <c r="B133" i="5"/>
  <c r="A133" i="5"/>
  <c r="J132" i="5"/>
  <c r="I132" i="5"/>
  <c r="D132" i="5"/>
  <c r="E132" i="5" s="1"/>
  <c r="C132" i="5"/>
  <c r="B132" i="5"/>
  <c r="A132" i="5"/>
  <c r="J131" i="5"/>
  <c r="I131" i="5"/>
  <c r="D131" i="5"/>
  <c r="E131" i="5" s="1"/>
  <c r="C131" i="5"/>
  <c r="B131" i="5"/>
  <c r="A131" i="5"/>
  <c r="J130" i="5"/>
  <c r="I130" i="5"/>
  <c r="D130" i="5"/>
  <c r="E130" i="5" s="1"/>
  <c r="C130" i="5"/>
  <c r="B130" i="5"/>
  <c r="A130" i="5"/>
  <c r="J129" i="5"/>
  <c r="I129" i="5"/>
  <c r="E129" i="5"/>
  <c r="D129" i="5"/>
  <c r="C129" i="5"/>
  <c r="B129" i="5"/>
  <c r="A129" i="5"/>
  <c r="J128" i="5"/>
  <c r="I128" i="5"/>
  <c r="D128" i="5"/>
  <c r="E128" i="5" s="1"/>
  <c r="C128" i="5"/>
  <c r="B128" i="5"/>
  <c r="A128" i="5"/>
  <c r="J127" i="5"/>
  <c r="I127" i="5"/>
  <c r="E127" i="5"/>
  <c r="D127" i="5"/>
  <c r="C127" i="5"/>
  <c r="B127" i="5"/>
  <c r="A127" i="5"/>
  <c r="J126" i="5"/>
  <c r="I126" i="5"/>
  <c r="D126" i="5"/>
  <c r="E126" i="5" s="1"/>
  <c r="C126" i="5"/>
  <c r="B126" i="5"/>
  <c r="A126" i="5"/>
  <c r="J125" i="5"/>
  <c r="I125" i="5"/>
  <c r="D125" i="5"/>
  <c r="E125" i="5" s="1"/>
  <c r="C125" i="5"/>
  <c r="B125" i="5"/>
  <c r="A125" i="5"/>
  <c r="J124" i="5"/>
  <c r="I124" i="5"/>
  <c r="D124" i="5"/>
  <c r="E124" i="5" s="1"/>
  <c r="C124" i="5"/>
  <c r="B124" i="5"/>
  <c r="A124" i="5"/>
  <c r="J123" i="5"/>
  <c r="I123" i="5"/>
  <c r="D123" i="5"/>
  <c r="E123" i="5" s="1"/>
  <c r="C123" i="5"/>
  <c r="B123" i="5"/>
  <c r="A123" i="5"/>
  <c r="J122" i="5"/>
  <c r="I122" i="5"/>
  <c r="D122" i="5"/>
  <c r="E122" i="5" s="1"/>
  <c r="C122" i="5"/>
  <c r="B122" i="5"/>
  <c r="A122" i="5"/>
  <c r="J121" i="5"/>
  <c r="I121" i="5"/>
  <c r="E121" i="5"/>
  <c r="D121" i="5"/>
  <c r="C121" i="5"/>
  <c r="B121" i="5"/>
  <c r="A121" i="5"/>
  <c r="J120" i="5"/>
  <c r="I120" i="5"/>
  <c r="E120" i="5"/>
  <c r="D120" i="5"/>
  <c r="C120" i="5"/>
  <c r="B120" i="5"/>
  <c r="A120" i="5"/>
  <c r="J119" i="5"/>
  <c r="I119" i="5"/>
  <c r="D119" i="5"/>
  <c r="E119" i="5" s="1"/>
  <c r="C119" i="5"/>
  <c r="B119" i="5"/>
  <c r="A119" i="5"/>
  <c r="J118" i="5"/>
  <c r="I118" i="5"/>
  <c r="D118" i="5"/>
  <c r="E118" i="5" s="1"/>
  <c r="C118" i="5"/>
  <c r="B118" i="5"/>
  <c r="A118" i="5"/>
  <c r="J117" i="5"/>
  <c r="I117" i="5"/>
  <c r="D117" i="5"/>
  <c r="E117" i="5" s="1"/>
  <c r="C117" i="5"/>
  <c r="B117" i="5"/>
  <c r="A117" i="5"/>
  <c r="J116" i="5"/>
  <c r="I116" i="5"/>
  <c r="E116" i="5"/>
  <c r="D116" i="5"/>
  <c r="C116" i="5"/>
  <c r="B116" i="5"/>
  <c r="A116" i="5"/>
  <c r="J115" i="5"/>
  <c r="I115" i="5"/>
  <c r="D115" i="5"/>
  <c r="E115" i="5" s="1"/>
  <c r="C115" i="5"/>
  <c r="B115" i="5"/>
  <c r="A115" i="5"/>
  <c r="J114" i="5"/>
  <c r="I114" i="5"/>
  <c r="E114" i="5"/>
  <c r="D114" i="5"/>
  <c r="C114" i="5"/>
  <c r="B114" i="5"/>
  <c r="A114" i="5"/>
  <c r="J113" i="5"/>
  <c r="I113" i="5"/>
  <c r="E113" i="5"/>
  <c r="D113" i="5"/>
  <c r="C113" i="5"/>
  <c r="B113" i="5"/>
  <c r="A113" i="5"/>
  <c r="J112" i="5"/>
  <c r="I112" i="5"/>
  <c r="D112" i="5"/>
  <c r="E112" i="5" s="1"/>
  <c r="C112" i="5"/>
  <c r="B112" i="5"/>
  <c r="A112" i="5"/>
  <c r="J111" i="5"/>
  <c r="I111" i="5"/>
  <c r="D111" i="5"/>
  <c r="E111" i="5" s="1"/>
  <c r="C111" i="5"/>
  <c r="B111" i="5"/>
  <c r="A111" i="5"/>
  <c r="J110" i="5"/>
  <c r="I110" i="5"/>
  <c r="D110" i="5"/>
  <c r="E110" i="5" s="1"/>
  <c r="C110" i="5"/>
  <c r="B110" i="5"/>
  <c r="A110" i="5"/>
  <c r="J109" i="5"/>
  <c r="I109" i="5"/>
  <c r="E109" i="5"/>
  <c r="D109" i="5"/>
  <c r="C109" i="5"/>
  <c r="B109" i="5"/>
  <c r="A109" i="5"/>
  <c r="J108" i="5"/>
  <c r="I108" i="5"/>
  <c r="D108" i="5"/>
  <c r="E108" i="5" s="1"/>
  <c r="C108" i="5"/>
  <c r="B108" i="5"/>
  <c r="A108" i="5"/>
  <c r="J107" i="5"/>
  <c r="I107" i="5"/>
  <c r="E107" i="5"/>
  <c r="D107" i="5"/>
  <c r="C107" i="5"/>
  <c r="B107" i="5"/>
  <c r="A107" i="5"/>
  <c r="J106" i="5"/>
  <c r="I106" i="5"/>
  <c r="D106" i="5"/>
  <c r="E106" i="5" s="1"/>
  <c r="C106" i="5"/>
  <c r="B106" i="5"/>
  <c r="A106" i="5"/>
  <c r="J105" i="5"/>
  <c r="I105" i="5"/>
  <c r="F105" i="5"/>
  <c r="D105" i="5"/>
  <c r="E105" i="5" s="1"/>
  <c r="C105" i="5"/>
  <c r="B105" i="5"/>
  <c r="A105" i="5"/>
  <c r="J104" i="5"/>
  <c r="I104" i="5"/>
  <c r="G104" i="5"/>
  <c r="D104" i="5"/>
  <c r="E104" i="5" s="1"/>
  <c r="C104" i="5"/>
  <c r="B104" i="5"/>
  <c r="A104" i="5"/>
  <c r="J103" i="5"/>
  <c r="I103" i="5"/>
  <c r="G103" i="5"/>
  <c r="D103" i="5"/>
  <c r="E103" i="5" s="1"/>
  <c r="C103" i="5"/>
  <c r="B103" i="5"/>
  <c r="A103" i="5"/>
  <c r="J102" i="5"/>
  <c r="I102" i="5"/>
  <c r="G102" i="5"/>
  <c r="D102" i="5"/>
  <c r="E102" i="5" s="1"/>
  <c r="C102" i="5"/>
  <c r="B102" i="5"/>
  <c r="A102" i="5"/>
  <c r="J101" i="5"/>
  <c r="I101" i="5"/>
  <c r="G101" i="5"/>
  <c r="D101" i="5"/>
  <c r="E101" i="5" s="1"/>
  <c r="C101" i="5"/>
  <c r="B101" i="5"/>
  <c r="A101" i="5"/>
  <c r="J100" i="5"/>
  <c r="I100" i="5"/>
  <c r="D100" i="5"/>
  <c r="E100" i="5" s="1"/>
  <c r="C100" i="5"/>
  <c r="B100" i="5"/>
  <c r="A100" i="5"/>
  <c r="J99" i="5"/>
  <c r="I99" i="5"/>
  <c r="D99" i="5"/>
  <c r="E99" i="5" s="1"/>
  <c r="C99" i="5"/>
  <c r="B99" i="5"/>
  <c r="A99" i="5"/>
  <c r="J98" i="5"/>
  <c r="I98" i="5"/>
  <c r="D98" i="5"/>
  <c r="E98" i="5" s="1"/>
  <c r="C98" i="5"/>
  <c r="B98" i="5"/>
  <c r="A98" i="5"/>
  <c r="J97" i="5"/>
  <c r="I97" i="5"/>
  <c r="E97" i="5"/>
  <c r="D97" i="5"/>
  <c r="C97" i="5"/>
  <c r="B97" i="5"/>
  <c r="A97" i="5"/>
  <c r="J96" i="5"/>
  <c r="I96" i="5"/>
  <c r="D96" i="5"/>
  <c r="E96" i="5" s="1"/>
  <c r="C96" i="5"/>
  <c r="B96" i="5"/>
  <c r="A96" i="5"/>
  <c r="J95" i="5"/>
  <c r="I95" i="5"/>
  <c r="E95" i="5"/>
  <c r="D95" i="5"/>
  <c r="C95" i="5"/>
  <c r="B95" i="5"/>
  <c r="A95" i="5"/>
  <c r="J94" i="5"/>
  <c r="I94" i="5"/>
  <c r="D94" i="5"/>
  <c r="E94" i="5" s="1"/>
  <c r="C94" i="5"/>
  <c r="B94" i="5"/>
  <c r="A94" i="5"/>
  <c r="J93" i="5"/>
  <c r="I93" i="5"/>
  <c r="D93" i="5"/>
  <c r="E93" i="5" s="1"/>
  <c r="C93" i="5"/>
  <c r="B93" i="5"/>
  <c r="A93" i="5"/>
  <c r="J92" i="5"/>
  <c r="I92" i="5"/>
  <c r="D92" i="5"/>
  <c r="E92" i="5" s="1"/>
  <c r="C92" i="5"/>
  <c r="B92" i="5"/>
  <c r="A92" i="5"/>
  <c r="J91" i="5"/>
  <c r="I91" i="5"/>
  <c r="D91" i="5"/>
  <c r="E91" i="5" s="1"/>
  <c r="C91" i="5"/>
  <c r="B91" i="5"/>
  <c r="A91" i="5"/>
  <c r="J90" i="5"/>
  <c r="I90" i="5"/>
  <c r="D90" i="5"/>
  <c r="E90" i="5" s="1"/>
  <c r="C90" i="5"/>
  <c r="B90" i="5"/>
  <c r="A90" i="5"/>
  <c r="J89" i="5"/>
  <c r="I89" i="5"/>
  <c r="E89" i="5"/>
  <c r="D89" i="5"/>
  <c r="C89" i="5"/>
  <c r="B89" i="5"/>
  <c r="A89" i="5"/>
  <c r="J88" i="5"/>
  <c r="I88" i="5"/>
  <c r="D88" i="5"/>
  <c r="E88" i="5" s="1"/>
  <c r="C88" i="5"/>
  <c r="B88" i="5"/>
  <c r="A88" i="5"/>
  <c r="J87" i="5"/>
  <c r="I87" i="5"/>
  <c r="D87" i="5"/>
  <c r="E87" i="5" s="1"/>
  <c r="C87" i="5"/>
  <c r="B87" i="5"/>
  <c r="A87" i="5"/>
  <c r="J86" i="5"/>
  <c r="I86" i="5"/>
  <c r="D86" i="5"/>
  <c r="E86" i="5" s="1"/>
  <c r="C86" i="5"/>
  <c r="B86" i="5"/>
  <c r="A86" i="5"/>
  <c r="J85" i="5"/>
  <c r="I85" i="5"/>
  <c r="D85" i="5"/>
  <c r="E85" i="5" s="1"/>
  <c r="C85" i="5"/>
  <c r="B85" i="5"/>
  <c r="A85" i="5"/>
  <c r="J84" i="5"/>
  <c r="I84" i="5"/>
  <c r="E84" i="5"/>
  <c r="D84" i="5"/>
  <c r="C84" i="5"/>
  <c r="B84" i="5"/>
  <c r="A84" i="5"/>
  <c r="J83" i="5"/>
  <c r="I83" i="5"/>
  <c r="D83" i="5"/>
  <c r="E83" i="5" s="1"/>
  <c r="C83" i="5"/>
  <c r="B83" i="5"/>
  <c r="A83" i="5"/>
  <c r="J82" i="5"/>
  <c r="I82" i="5"/>
  <c r="E82" i="5"/>
  <c r="D82" i="5"/>
  <c r="C82" i="5"/>
  <c r="B82" i="5"/>
  <c r="A82" i="5"/>
  <c r="J81" i="5"/>
  <c r="I81" i="5"/>
  <c r="D81" i="5"/>
  <c r="E81" i="5" s="1"/>
  <c r="C81" i="5"/>
  <c r="B81" i="5"/>
  <c r="A81" i="5"/>
  <c r="J80" i="5"/>
  <c r="I80" i="5"/>
  <c r="D80" i="5"/>
  <c r="E80" i="5" s="1"/>
  <c r="C80" i="5"/>
  <c r="B80" i="5"/>
  <c r="A80" i="5"/>
  <c r="J79" i="5"/>
  <c r="I79" i="5"/>
  <c r="D79" i="5"/>
  <c r="E79" i="5" s="1"/>
  <c r="C79" i="5"/>
  <c r="B79" i="5"/>
  <c r="A79" i="5"/>
  <c r="J78" i="5"/>
  <c r="I78" i="5"/>
  <c r="D78" i="5"/>
  <c r="E78" i="5" s="1"/>
  <c r="C78" i="5"/>
  <c r="B78" i="5"/>
  <c r="A78" i="5"/>
  <c r="J77" i="5"/>
  <c r="I77" i="5"/>
  <c r="E77" i="5"/>
  <c r="D77" i="5"/>
  <c r="C77" i="5"/>
  <c r="B77" i="5"/>
  <c r="A77" i="5"/>
  <c r="J76" i="5"/>
  <c r="I76" i="5"/>
  <c r="D76" i="5"/>
  <c r="E76" i="5" s="1"/>
  <c r="C76" i="5"/>
  <c r="B76" i="5"/>
  <c r="A76" i="5"/>
  <c r="J75" i="5"/>
  <c r="I75" i="5"/>
  <c r="E75" i="5"/>
  <c r="D75" i="5"/>
  <c r="C75" i="5"/>
  <c r="B75" i="5"/>
  <c r="A75" i="5"/>
  <c r="J74" i="5"/>
  <c r="I74" i="5"/>
  <c r="D74" i="5"/>
  <c r="E74" i="5" s="1"/>
  <c r="C74" i="5"/>
  <c r="B74" i="5"/>
  <c r="A74" i="5"/>
  <c r="J73" i="5"/>
  <c r="I73" i="5"/>
  <c r="F73" i="5"/>
  <c r="D73" i="5"/>
  <c r="E73" i="5" s="1"/>
  <c r="C73" i="5"/>
  <c r="B73" i="5"/>
  <c r="A73" i="5"/>
  <c r="J72" i="5"/>
  <c r="I72" i="5"/>
  <c r="G72" i="5"/>
  <c r="D72" i="5"/>
  <c r="E72" i="5" s="1"/>
  <c r="C72" i="5"/>
  <c r="B72" i="5"/>
  <c r="A72" i="5"/>
  <c r="J71" i="5"/>
  <c r="I71" i="5"/>
  <c r="G71" i="5"/>
  <c r="D71" i="5"/>
  <c r="E71" i="5" s="1"/>
  <c r="C71" i="5"/>
  <c r="B71" i="5"/>
  <c r="A71" i="5"/>
  <c r="J70" i="5"/>
  <c r="I70" i="5"/>
  <c r="G70" i="5"/>
  <c r="D70" i="5"/>
  <c r="E70" i="5" s="1"/>
  <c r="C70" i="5"/>
  <c r="B70" i="5"/>
  <c r="A70" i="5"/>
  <c r="J69" i="5"/>
  <c r="I69" i="5"/>
  <c r="G69" i="5"/>
  <c r="D69" i="5"/>
  <c r="E69" i="5" s="1"/>
  <c r="C69" i="5"/>
  <c r="B69" i="5"/>
  <c r="A69" i="5"/>
  <c r="J68" i="5"/>
  <c r="I68" i="5"/>
  <c r="D68" i="5"/>
  <c r="E68" i="5" s="1"/>
  <c r="C68" i="5"/>
  <c r="B68" i="5"/>
  <c r="A68" i="5"/>
  <c r="J67" i="5"/>
  <c r="I67" i="5"/>
  <c r="D67" i="5"/>
  <c r="E67" i="5" s="1"/>
  <c r="C67" i="5"/>
  <c r="B67" i="5"/>
  <c r="A67" i="5"/>
  <c r="J66" i="5"/>
  <c r="I66" i="5"/>
  <c r="D66" i="5"/>
  <c r="E66" i="5" s="1"/>
  <c r="C66" i="5"/>
  <c r="B66" i="5"/>
  <c r="A66" i="5"/>
  <c r="J65" i="5"/>
  <c r="I65" i="5"/>
  <c r="E65" i="5"/>
  <c r="D65" i="5"/>
  <c r="C65" i="5"/>
  <c r="B65" i="5"/>
  <c r="A65" i="5"/>
  <c r="J64" i="5"/>
  <c r="I64" i="5"/>
  <c r="D64" i="5"/>
  <c r="E64" i="5" s="1"/>
  <c r="C64" i="5"/>
  <c r="B64" i="5"/>
  <c r="A64" i="5"/>
  <c r="J63" i="5"/>
  <c r="I63" i="5"/>
  <c r="E63" i="5"/>
  <c r="D63" i="5"/>
  <c r="C63" i="5"/>
  <c r="B63" i="5"/>
  <c r="A63" i="5"/>
  <c r="J62" i="5"/>
  <c r="I62" i="5"/>
  <c r="D62" i="5"/>
  <c r="E62" i="5" s="1"/>
  <c r="C62" i="5"/>
  <c r="B62" i="5"/>
  <c r="A62" i="5"/>
  <c r="J61" i="5"/>
  <c r="I61" i="5"/>
  <c r="D61" i="5"/>
  <c r="E61" i="5" s="1"/>
  <c r="C61" i="5"/>
  <c r="B61" i="5"/>
  <c r="A61" i="5"/>
  <c r="J60" i="5"/>
  <c r="I60" i="5"/>
  <c r="D60" i="5"/>
  <c r="E60" i="5" s="1"/>
  <c r="C60" i="5"/>
  <c r="B60" i="5"/>
  <c r="A60" i="5"/>
  <c r="J59" i="5"/>
  <c r="I59" i="5"/>
  <c r="D59" i="5"/>
  <c r="E59" i="5" s="1"/>
  <c r="C59" i="5"/>
  <c r="B59" i="5"/>
  <c r="A59" i="5"/>
  <c r="J58" i="5"/>
  <c r="I58" i="5"/>
  <c r="D58" i="5"/>
  <c r="E58" i="5" s="1"/>
  <c r="C58" i="5"/>
  <c r="B58" i="5"/>
  <c r="A58" i="5"/>
  <c r="J57" i="5"/>
  <c r="I57" i="5"/>
  <c r="D57" i="5"/>
  <c r="E57" i="5" s="1"/>
  <c r="C57" i="5"/>
  <c r="B57" i="5"/>
  <c r="A57" i="5"/>
  <c r="J56" i="5"/>
  <c r="I56" i="5"/>
  <c r="D56" i="5"/>
  <c r="E56" i="5" s="1"/>
  <c r="C56" i="5"/>
  <c r="B56" i="5"/>
  <c r="A56" i="5"/>
  <c r="J55" i="5"/>
  <c r="I55" i="5"/>
  <c r="D55" i="5"/>
  <c r="E55" i="5" s="1"/>
  <c r="C55" i="5"/>
  <c r="B55" i="5"/>
  <c r="A55" i="5"/>
  <c r="J54" i="5"/>
  <c r="I54" i="5"/>
  <c r="D54" i="5"/>
  <c r="E54" i="5" s="1"/>
  <c r="C54" i="5"/>
  <c r="B54" i="5"/>
  <c r="A54" i="5"/>
  <c r="J53" i="5"/>
  <c r="I53" i="5"/>
  <c r="D53" i="5"/>
  <c r="E53" i="5" s="1"/>
  <c r="C53" i="5"/>
  <c r="B53" i="5"/>
  <c r="A53" i="5"/>
  <c r="J52" i="5"/>
  <c r="I52" i="5"/>
  <c r="D52" i="5"/>
  <c r="E52" i="5" s="1"/>
  <c r="C52" i="5"/>
  <c r="B52" i="5"/>
  <c r="A52" i="5"/>
  <c r="J51" i="5"/>
  <c r="I51" i="5"/>
  <c r="E51" i="5"/>
  <c r="D51" i="5"/>
  <c r="C51" i="5"/>
  <c r="B51" i="5"/>
  <c r="A51" i="5"/>
  <c r="J50" i="5"/>
  <c r="I50" i="5"/>
  <c r="D50" i="5"/>
  <c r="E50" i="5" s="1"/>
  <c r="C50" i="5"/>
  <c r="B50" i="5"/>
  <c r="A50" i="5"/>
  <c r="J49" i="5"/>
  <c r="I49" i="5"/>
  <c r="E49" i="5"/>
  <c r="D49" i="5"/>
  <c r="C49" i="5"/>
  <c r="B49" i="5"/>
  <c r="A49" i="5"/>
  <c r="J48" i="5"/>
  <c r="I48" i="5"/>
  <c r="D48" i="5"/>
  <c r="E48" i="5" s="1"/>
  <c r="C48" i="5"/>
  <c r="B48" i="5"/>
  <c r="A48" i="5"/>
  <c r="J47" i="5"/>
  <c r="I47" i="5"/>
  <c r="D47" i="5"/>
  <c r="E47" i="5" s="1"/>
  <c r="C47" i="5"/>
  <c r="B47" i="5"/>
  <c r="A47" i="5"/>
  <c r="J46" i="5"/>
  <c r="I46" i="5"/>
  <c r="D46" i="5"/>
  <c r="E46" i="5" s="1"/>
  <c r="C46" i="5"/>
  <c r="B46" i="5"/>
  <c r="A46" i="5"/>
  <c r="J45" i="5"/>
  <c r="I45" i="5"/>
  <c r="D45" i="5"/>
  <c r="E45" i="5" s="1"/>
  <c r="C45" i="5"/>
  <c r="B45" i="5"/>
  <c r="A45" i="5"/>
  <c r="J44" i="5"/>
  <c r="I44" i="5"/>
  <c r="D44" i="5"/>
  <c r="E44" i="5" s="1"/>
  <c r="C44" i="5"/>
  <c r="B44" i="5"/>
  <c r="A44" i="5"/>
  <c r="J43" i="5"/>
  <c r="I43" i="5"/>
  <c r="D43" i="5"/>
  <c r="E43" i="5" s="1"/>
  <c r="C43" i="5"/>
  <c r="B43" i="5"/>
  <c r="A43" i="5"/>
  <c r="J42" i="5"/>
  <c r="I42" i="5"/>
  <c r="D42" i="5"/>
  <c r="E42" i="5" s="1"/>
  <c r="C42" i="5"/>
  <c r="B42" i="5"/>
  <c r="A42" i="5"/>
  <c r="J41" i="5"/>
  <c r="I41" i="5"/>
  <c r="D41" i="5"/>
  <c r="E41" i="5" s="1"/>
  <c r="C41" i="5"/>
  <c r="B41" i="5"/>
  <c r="A41" i="5"/>
  <c r="J40" i="5"/>
  <c r="I40" i="5"/>
  <c r="D40" i="5"/>
  <c r="E40" i="5" s="1"/>
  <c r="C40" i="5"/>
  <c r="B40" i="5"/>
  <c r="A40" i="5"/>
  <c r="J39" i="5"/>
  <c r="I39" i="5"/>
  <c r="D39" i="5"/>
  <c r="E39" i="5" s="1"/>
  <c r="C39" i="5"/>
  <c r="B39" i="5"/>
  <c r="A39" i="5"/>
  <c r="J38" i="5"/>
  <c r="I38" i="5"/>
  <c r="D38" i="5"/>
  <c r="E38" i="5" s="1"/>
  <c r="C38" i="5"/>
  <c r="B38" i="5"/>
  <c r="A38" i="5"/>
  <c r="J37" i="5"/>
  <c r="I37" i="5"/>
  <c r="E37" i="5"/>
  <c r="D37" i="5"/>
  <c r="C37" i="5"/>
  <c r="B37" i="5"/>
  <c r="A37" i="5"/>
  <c r="J36" i="5"/>
  <c r="I36" i="5"/>
  <c r="D36" i="5"/>
  <c r="E36" i="5" s="1"/>
  <c r="C36" i="5"/>
  <c r="B36" i="5"/>
  <c r="A36" i="5"/>
  <c r="J35" i="5"/>
  <c r="I35" i="5"/>
  <c r="E35" i="5"/>
  <c r="D35" i="5"/>
  <c r="C35" i="5"/>
  <c r="B35" i="5"/>
  <c r="A35" i="5"/>
  <c r="J34" i="5"/>
  <c r="I34" i="5"/>
  <c r="D34" i="5"/>
  <c r="E34" i="5" s="1"/>
  <c r="C34" i="5"/>
  <c r="B34" i="5"/>
  <c r="A34" i="5"/>
  <c r="J33" i="5"/>
  <c r="I33" i="5"/>
  <c r="D33" i="5"/>
  <c r="E33" i="5" s="1"/>
  <c r="C33" i="5"/>
  <c r="B33" i="5"/>
  <c r="A33" i="5"/>
  <c r="J32" i="5"/>
  <c r="I32" i="5"/>
  <c r="D32" i="5"/>
  <c r="E32" i="5" s="1"/>
  <c r="C32" i="5"/>
  <c r="B32" i="5"/>
  <c r="A32" i="5"/>
  <c r="J31" i="5"/>
  <c r="I31" i="5"/>
  <c r="D31" i="5"/>
  <c r="E31" i="5" s="1"/>
  <c r="C31" i="5"/>
  <c r="B31" i="5"/>
  <c r="A31" i="5"/>
  <c r="J30" i="5"/>
  <c r="I30" i="5"/>
  <c r="D30" i="5"/>
  <c r="E30" i="5" s="1"/>
  <c r="C30" i="5"/>
  <c r="B30" i="5"/>
  <c r="A30" i="5"/>
  <c r="J29" i="5"/>
  <c r="I29" i="5"/>
  <c r="E29" i="5"/>
  <c r="D29" i="5"/>
  <c r="C29" i="5"/>
  <c r="B29" i="5"/>
  <c r="A29" i="5"/>
  <c r="J28" i="5"/>
  <c r="I28" i="5"/>
  <c r="G28" i="5"/>
  <c r="E28" i="5"/>
  <c r="D28" i="5"/>
  <c r="C28" i="5"/>
  <c r="B28" i="5"/>
  <c r="A28" i="5"/>
  <c r="J27" i="5"/>
  <c r="I27" i="5"/>
  <c r="G27" i="5"/>
  <c r="E27" i="5"/>
  <c r="D27" i="5"/>
  <c r="C27" i="5"/>
  <c r="B27" i="5"/>
  <c r="A27" i="5"/>
  <c r="J26" i="5"/>
  <c r="I26" i="5"/>
  <c r="G26" i="5"/>
  <c r="D26" i="5"/>
  <c r="E26" i="5" s="1"/>
  <c r="C26" i="5"/>
  <c r="B26" i="5"/>
  <c r="A26" i="5"/>
  <c r="J25" i="5"/>
  <c r="I25" i="5"/>
  <c r="G25" i="5"/>
  <c r="F25" i="5"/>
  <c r="E25" i="5"/>
  <c r="D25" i="5"/>
  <c r="C25" i="5"/>
  <c r="B25" i="5"/>
  <c r="A25" i="5"/>
  <c r="J24" i="5"/>
  <c r="I24" i="5"/>
  <c r="G24" i="5"/>
  <c r="E24" i="5"/>
  <c r="D24" i="5"/>
  <c r="C24" i="5"/>
  <c r="B24" i="5"/>
  <c r="A24" i="5"/>
  <c r="J23" i="5"/>
  <c r="I23" i="5"/>
  <c r="G23" i="5"/>
  <c r="E23" i="5"/>
  <c r="D23" i="5"/>
  <c r="C23" i="5"/>
  <c r="B23" i="5"/>
  <c r="A23" i="5"/>
  <c r="J22" i="5"/>
  <c r="I22" i="5"/>
  <c r="G22" i="5"/>
  <c r="D22" i="5"/>
  <c r="E22" i="5" s="1"/>
  <c r="C22" i="5"/>
  <c r="B22" i="5"/>
  <c r="A22" i="5"/>
  <c r="J21" i="5"/>
  <c r="I21" i="5"/>
  <c r="G21" i="5"/>
  <c r="E21" i="5"/>
  <c r="D21" i="5"/>
  <c r="C21" i="5"/>
  <c r="B21" i="5"/>
  <c r="A21" i="5"/>
  <c r="J20" i="5"/>
  <c r="I20" i="5"/>
  <c r="G20" i="5"/>
  <c r="D20" i="5"/>
  <c r="E20" i="5" s="1"/>
  <c r="C20" i="5"/>
  <c r="B20" i="5"/>
  <c r="A20" i="5"/>
  <c r="J19" i="5"/>
  <c r="I19" i="5"/>
  <c r="D19" i="5"/>
  <c r="E19" i="5" s="1"/>
  <c r="C19" i="5"/>
  <c r="B19" i="5"/>
  <c r="A19" i="5"/>
  <c r="J18" i="5"/>
  <c r="I18" i="5"/>
  <c r="D18" i="5"/>
  <c r="E18" i="5" s="1"/>
  <c r="C18" i="5"/>
  <c r="B18" i="5"/>
  <c r="A18" i="5"/>
  <c r="J17" i="5"/>
  <c r="I17" i="5"/>
  <c r="D17" i="5"/>
  <c r="E17" i="5" s="1"/>
  <c r="C17" i="5"/>
  <c r="B17" i="5"/>
  <c r="A17" i="5"/>
  <c r="J16" i="5"/>
  <c r="I16" i="5"/>
  <c r="D16" i="5"/>
  <c r="E16" i="5" s="1"/>
  <c r="C16" i="5"/>
  <c r="B16" i="5"/>
  <c r="A16" i="5"/>
  <c r="J15" i="5"/>
  <c r="I15" i="5"/>
  <c r="D15" i="5"/>
  <c r="E15" i="5" s="1"/>
  <c r="C15" i="5"/>
  <c r="B15" i="5"/>
  <c r="A15" i="5"/>
  <c r="J14" i="5"/>
  <c r="I14" i="5"/>
  <c r="D14" i="5"/>
  <c r="E14" i="5" s="1"/>
  <c r="C14" i="5"/>
  <c r="B14" i="5"/>
  <c r="A14" i="5"/>
  <c r="J13" i="5"/>
  <c r="I13" i="5"/>
  <c r="G13" i="5"/>
  <c r="F13" i="5"/>
  <c r="D13" i="5"/>
  <c r="E13" i="5" s="1"/>
  <c r="H13" i="5" s="1"/>
  <c r="C13" i="5"/>
  <c r="B13" i="5"/>
  <c r="A13" i="5"/>
  <c r="J12" i="5"/>
  <c r="I12" i="5"/>
  <c r="D12" i="5"/>
  <c r="E12" i="5" s="1"/>
  <c r="C12" i="5"/>
  <c r="B12" i="5"/>
  <c r="A12" i="5"/>
  <c r="J11" i="5"/>
  <c r="I11" i="5"/>
  <c r="D11" i="5"/>
  <c r="E11" i="5" s="1"/>
  <c r="C11" i="5"/>
  <c r="B11" i="5"/>
  <c r="A11" i="5"/>
  <c r="J10" i="5"/>
  <c r="I10" i="5"/>
  <c r="D10" i="5"/>
  <c r="E10" i="5" s="1"/>
  <c r="C10" i="5"/>
  <c r="B10" i="5"/>
  <c r="A10" i="5"/>
  <c r="J9" i="5"/>
  <c r="I9" i="5"/>
  <c r="G9" i="5"/>
  <c r="D9" i="5"/>
  <c r="E9" i="5" s="1"/>
  <c r="C9" i="5"/>
  <c r="B9" i="5"/>
  <c r="A9" i="5"/>
  <c r="J8" i="5"/>
  <c r="I8" i="5"/>
  <c r="F8" i="5"/>
  <c r="D8" i="5"/>
  <c r="E8" i="5" s="1"/>
  <c r="C8" i="5"/>
  <c r="B8" i="5"/>
  <c r="A8" i="5"/>
  <c r="J7" i="5"/>
  <c r="I7" i="5"/>
  <c r="D7" i="5"/>
  <c r="E7" i="5" s="1"/>
  <c r="C7" i="5"/>
  <c r="B7" i="5"/>
  <c r="A7" i="5"/>
  <c r="J6" i="5"/>
  <c r="I6" i="5"/>
  <c r="D6" i="5"/>
  <c r="E6" i="5" s="1"/>
  <c r="C6" i="5"/>
  <c r="B6" i="5"/>
  <c r="A6" i="5"/>
  <c r="J5" i="5"/>
  <c r="I5" i="5"/>
  <c r="D5" i="5"/>
  <c r="E5" i="5" s="1"/>
  <c r="C5" i="5"/>
  <c r="B5" i="5"/>
  <c r="A5" i="5"/>
  <c r="J4" i="5"/>
  <c r="I4" i="5"/>
  <c r="D4" i="5"/>
  <c r="E4" i="5" s="1"/>
  <c r="C4" i="5"/>
  <c r="B4" i="5"/>
  <c r="A4" i="5"/>
  <c r="J3" i="5"/>
  <c r="I3" i="5"/>
  <c r="D3" i="5"/>
  <c r="E3" i="5" s="1"/>
  <c r="C3" i="5"/>
  <c r="B3" i="5"/>
  <c r="A3" i="5"/>
  <c r="J2" i="5"/>
  <c r="I2" i="5"/>
  <c r="D2" i="5"/>
  <c r="E2" i="5" s="1"/>
  <c r="C2" i="5"/>
  <c r="B2" i="5"/>
  <c r="A2" i="5"/>
  <c r="B4" i="2"/>
  <c r="B6" i="2" s="1"/>
  <c r="G149" i="5" s="1"/>
  <c r="B3" i="2"/>
  <c r="B5" i="2" s="1"/>
  <c r="F18" i="5" s="1"/>
  <c r="B2" i="2"/>
  <c r="F9" i="5" l="1"/>
  <c r="H25" i="5"/>
  <c r="G37" i="5"/>
  <c r="G41" i="5"/>
  <c r="F169" i="5"/>
  <c r="F5" i="5"/>
  <c r="G54" i="5"/>
  <c r="G55" i="5"/>
  <c r="G56" i="5"/>
  <c r="F57" i="5"/>
  <c r="H57" i="5" s="1"/>
  <c r="G58" i="5"/>
  <c r="G59" i="5"/>
  <c r="G60" i="5"/>
  <c r="F4" i="5"/>
  <c r="G5" i="5"/>
  <c r="H5" i="5" s="1"/>
  <c r="F17" i="5"/>
  <c r="H17" i="5" s="1"/>
  <c r="G53" i="5"/>
  <c r="G57" i="5"/>
  <c r="F12" i="5"/>
  <c r="H9" i="5"/>
  <c r="F16" i="5"/>
  <c r="G17" i="5"/>
  <c r="G38" i="5"/>
  <c r="G39" i="5"/>
  <c r="H39" i="5" s="1"/>
  <c r="G40" i="5"/>
  <c r="F41" i="5"/>
  <c r="H41" i="5" s="1"/>
  <c r="G42" i="5"/>
  <c r="G43" i="5"/>
  <c r="G44" i="5"/>
  <c r="F137" i="5"/>
  <c r="G165" i="5"/>
  <c r="H38" i="5"/>
  <c r="G134" i="5"/>
  <c r="G135" i="5"/>
  <c r="G136" i="5"/>
  <c r="G166" i="5"/>
  <c r="G167" i="5"/>
  <c r="G168" i="5"/>
  <c r="H106" i="5"/>
  <c r="F2" i="5"/>
  <c r="F6" i="5"/>
  <c r="F10" i="5"/>
  <c r="H10" i="5" s="1"/>
  <c r="F14" i="5"/>
  <c r="H14" i="5" s="1"/>
  <c r="G150" i="5"/>
  <c r="G151" i="5"/>
  <c r="G152" i="5"/>
  <c r="F187" i="5"/>
  <c r="F183" i="5"/>
  <c r="F179" i="5"/>
  <c r="F175" i="5"/>
  <c r="F171" i="5"/>
  <c r="H171" i="5" s="1"/>
  <c r="F167" i="5"/>
  <c r="F163" i="5"/>
  <c r="F159" i="5"/>
  <c r="F155" i="5"/>
  <c r="H155" i="5" s="1"/>
  <c r="F151" i="5"/>
  <c r="F147" i="5"/>
  <c r="F143" i="5"/>
  <c r="F139" i="5"/>
  <c r="F135" i="5"/>
  <c r="F131" i="5"/>
  <c r="F127" i="5"/>
  <c r="F123" i="5"/>
  <c r="F119" i="5"/>
  <c r="F115" i="5"/>
  <c r="F111" i="5"/>
  <c r="F107" i="5"/>
  <c r="F103" i="5"/>
  <c r="H103" i="5" s="1"/>
  <c r="F99" i="5"/>
  <c r="F95" i="5"/>
  <c r="F91" i="5"/>
  <c r="F87" i="5"/>
  <c r="H87" i="5" s="1"/>
  <c r="F83" i="5"/>
  <c r="F79" i="5"/>
  <c r="H79" i="5" s="1"/>
  <c r="F75" i="5"/>
  <c r="H75" i="5" s="1"/>
  <c r="F71" i="5"/>
  <c r="F67" i="5"/>
  <c r="F63" i="5"/>
  <c r="F59" i="5"/>
  <c r="F55" i="5"/>
  <c r="H55" i="5" s="1"/>
  <c r="F51" i="5"/>
  <c r="F47" i="5"/>
  <c r="F43" i="5"/>
  <c r="H43" i="5" s="1"/>
  <c r="F39" i="5"/>
  <c r="F35" i="5"/>
  <c r="F31" i="5"/>
  <c r="F27" i="5"/>
  <c r="H27" i="5" s="1"/>
  <c r="F23" i="5"/>
  <c r="F186" i="5"/>
  <c r="H186" i="5" s="1"/>
  <c r="F182" i="5"/>
  <c r="F178" i="5"/>
  <c r="F174" i="5"/>
  <c r="F170" i="5"/>
  <c r="F166" i="5"/>
  <c r="H166" i="5" s="1"/>
  <c r="F162" i="5"/>
  <c r="H162" i="5" s="1"/>
  <c r="F158" i="5"/>
  <c r="H158" i="5" s="1"/>
  <c r="F154" i="5"/>
  <c r="H154" i="5" s="1"/>
  <c r="F150" i="5"/>
  <c r="H150" i="5" s="1"/>
  <c r="F146" i="5"/>
  <c r="F142" i="5"/>
  <c r="H142" i="5" s="1"/>
  <c r="F138" i="5"/>
  <c r="F134" i="5"/>
  <c r="F130" i="5"/>
  <c r="H130" i="5" s="1"/>
  <c r="F126" i="5"/>
  <c r="H126" i="5" s="1"/>
  <c r="F122" i="5"/>
  <c r="H122" i="5" s="1"/>
  <c r="F118" i="5"/>
  <c r="F114" i="5"/>
  <c r="F110" i="5"/>
  <c r="F106" i="5"/>
  <c r="F102" i="5"/>
  <c r="H102" i="5" s="1"/>
  <c r="F98" i="5"/>
  <c r="F94" i="5"/>
  <c r="H94" i="5" s="1"/>
  <c r="F90" i="5"/>
  <c r="H90" i="5" s="1"/>
  <c r="F86" i="5"/>
  <c r="H86" i="5" s="1"/>
  <c r="F82" i="5"/>
  <c r="F78" i="5"/>
  <c r="F74" i="5"/>
  <c r="F70" i="5"/>
  <c r="H70" i="5" s="1"/>
  <c r="F66" i="5"/>
  <c r="H66" i="5" s="1"/>
  <c r="F62" i="5"/>
  <c r="H62" i="5" s="1"/>
  <c r="F58" i="5"/>
  <c r="H58" i="5" s="1"/>
  <c r="F54" i="5"/>
  <c r="H54" i="5" s="1"/>
  <c r="F50" i="5"/>
  <c r="F46" i="5"/>
  <c r="F42" i="5"/>
  <c r="H42" i="5" s="1"/>
  <c r="F38" i="5"/>
  <c r="F34" i="5"/>
  <c r="F30" i="5"/>
  <c r="H30" i="5" s="1"/>
  <c r="F26" i="5"/>
  <c r="H26" i="5" s="1"/>
  <c r="F22" i="5"/>
  <c r="H22" i="5" s="1"/>
  <c r="F189" i="5"/>
  <c r="F185" i="5"/>
  <c r="F181" i="5"/>
  <c r="F177" i="5"/>
  <c r="F188" i="5"/>
  <c r="F184" i="5"/>
  <c r="H184" i="5" s="1"/>
  <c r="F180" i="5"/>
  <c r="F176" i="5"/>
  <c r="F172" i="5"/>
  <c r="H172" i="5" s="1"/>
  <c r="F168" i="5"/>
  <c r="F164" i="5"/>
  <c r="F160" i="5"/>
  <c r="F156" i="5"/>
  <c r="F152" i="5"/>
  <c r="F148" i="5"/>
  <c r="F144" i="5"/>
  <c r="F140" i="5"/>
  <c r="F136" i="5"/>
  <c r="H136" i="5" s="1"/>
  <c r="F132" i="5"/>
  <c r="F128" i="5"/>
  <c r="F124" i="5"/>
  <c r="H124" i="5" s="1"/>
  <c r="F120" i="5"/>
  <c r="F116" i="5"/>
  <c r="F112" i="5"/>
  <c r="F108" i="5"/>
  <c r="F104" i="5"/>
  <c r="H104" i="5" s="1"/>
  <c r="F100" i="5"/>
  <c r="F96" i="5"/>
  <c r="F92" i="5"/>
  <c r="F88" i="5"/>
  <c r="F84" i="5"/>
  <c r="F80" i="5"/>
  <c r="F76" i="5"/>
  <c r="H76" i="5" s="1"/>
  <c r="F72" i="5"/>
  <c r="H72" i="5" s="1"/>
  <c r="F68" i="5"/>
  <c r="F64" i="5"/>
  <c r="F60" i="5"/>
  <c r="H60" i="5" s="1"/>
  <c r="F56" i="5"/>
  <c r="H56" i="5" s="1"/>
  <c r="F52" i="5"/>
  <c r="H52" i="5" s="1"/>
  <c r="F48" i="5"/>
  <c r="F44" i="5"/>
  <c r="H44" i="5" s="1"/>
  <c r="F40" i="5"/>
  <c r="F36" i="5"/>
  <c r="F32" i="5"/>
  <c r="F28" i="5"/>
  <c r="H28" i="5" s="1"/>
  <c r="F24" i="5"/>
  <c r="H24" i="5" s="1"/>
  <c r="F20" i="5"/>
  <c r="H20" i="5" s="1"/>
  <c r="F161" i="5"/>
  <c r="H161" i="5" s="1"/>
  <c r="F145" i="5"/>
  <c r="F129" i="5"/>
  <c r="F113" i="5"/>
  <c r="F97" i="5"/>
  <c r="F81" i="5"/>
  <c r="F65" i="5"/>
  <c r="F49" i="5"/>
  <c r="F33" i="5"/>
  <c r="F19" i="5"/>
  <c r="H19" i="5" s="1"/>
  <c r="F15" i="5"/>
  <c r="F11" i="5"/>
  <c r="F7" i="5"/>
  <c r="F3" i="5"/>
  <c r="F173" i="5"/>
  <c r="H173" i="5" s="1"/>
  <c r="F157" i="5"/>
  <c r="H157" i="5" s="1"/>
  <c r="F141" i="5"/>
  <c r="F125" i="5"/>
  <c r="H125" i="5" s="1"/>
  <c r="F109" i="5"/>
  <c r="F93" i="5"/>
  <c r="F77" i="5"/>
  <c r="F61" i="5"/>
  <c r="H61" i="5" s="1"/>
  <c r="F45" i="5"/>
  <c r="F29" i="5"/>
  <c r="H29" i="5" s="1"/>
  <c r="F165" i="5"/>
  <c r="F149" i="5"/>
  <c r="F133" i="5"/>
  <c r="H133" i="5" s="1"/>
  <c r="F117" i="5"/>
  <c r="F101" i="5"/>
  <c r="H101" i="5" s="1"/>
  <c r="F85" i="5"/>
  <c r="F69" i="5"/>
  <c r="H69" i="5" s="1"/>
  <c r="F53" i="5"/>
  <c r="H53" i="5" s="1"/>
  <c r="F37" i="5"/>
  <c r="H37" i="5" s="1"/>
  <c r="F21" i="5"/>
  <c r="H21" i="5" s="1"/>
  <c r="G86" i="5"/>
  <c r="G87" i="5"/>
  <c r="G88" i="5"/>
  <c r="G118" i="5"/>
  <c r="H118" i="5" s="1"/>
  <c r="G119" i="5"/>
  <c r="H119" i="5" s="1"/>
  <c r="G120" i="5"/>
  <c r="F153" i="5"/>
  <c r="H153" i="5" s="1"/>
  <c r="G189" i="5"/>
  <c r="G19" i="5"/>
  <c r="G15" i="5"/>
  <c r="G11" i="5"/>
  <c r="G7" i="5"/>
  <c r="G3" i="5"/>
  <c r="G170" i="5"/>
  <c r="G155" i="5"/>
  <c r="G153" i="5"/>
  <c r="G137" i="5"/>
  <c r="H137" i="5" s="1"/>
  <c r="G123" i="5"/>
  <c r="G121" i="5"/>
  <c r="G105" i="5"/>
  <c r="H105" i="5" s="1"/>
  <c r="G91" i="5"/>
  <c r="G188" i="5"/>
  <c r="G187" i="5"/>
  <c r="G186" i="5"/>
  <c r="G185" i="5"/>
  <c r="G184" i="5"/>
  <c r="G183" i="5"/>
  <c r="H183" i="5" s="1"/>
  <c r="G182" i="5"/>
  <c r="H182" i="5" s="1"/>
  <c r="G181" i="5"/>
  <c r="G180" i="5"/>
  <c r="H180" i="5" s="1"/>
  <c r="G179" i="5"/>
  <c r="G178" i="5"/>
  <c r="G177" i="5"/>
  <c r="G176" i="5"/>
  <c r="G175" i="5"/>
  <c r="H175" i="5" s="1"/>
  <c r="G174" i="5"/>
  <c r="G173" i="5"/>
  <c r="G160" i="5"/>
  <c r="G159" i="5"/>
  <c r="G158" i="5"/>
  <c r="G157" i="5"/>
  <c r="G144" i="5"/>
  <c r="G143" i="5"/>
  <c r="H143" i="5" s="1"/>
  <c r="G142" i="5"/>
  <c r="G141" i="5"/>
  <c r="H141" i="5" s="1"/>
  <c r="G128" i="5"/>
  <c r="G127" i="5"/>
  <c r="G126" i="5"/>
  <c r="G125" i="5"/>
  <c r="G112" i="5"/>
  <c r="G111" i="5"/>
  <c r="G110" i="5"/>
  <c r="H110" i="5" s="1"/>
  <c r="G109" i="5"/>
  <c r="H109" i="5" s="1"/>
  <c r="G96" i="5"/>
  <c r="G95" i="5"/>
  <c r="G94" i="5"/>
  <c r="G93" i="5"/>
  <c r="G80" i="5"/>
  <c r="G79" i="5"/>
  <c r="G78" i="5"/>
  <c r="G77" i="5"/>
  <c r="G64" i="5"/>
  <c r="G63" i="5"/>
  <c r="G62" i="5"/>
  <c r="G61" i="5"/>
  <c r="G48" i="5"/>
  <c r="G47" i="5"/>
  <c r="H47" i="5" s="1"/>
  <c r="G46" i="5"/>
  <c r="G45" i="5"/>
  <c r="G32" i="5"/>
  <c r="G31" i="5"/>
  <c r="G30" i="5"/>
  <c r="G29" i="5"/>
  <c r="G172" i="5"/>
  <c r="G156" i="5"/>
  <c r="G154" i="5"/>
  <c r="G140" i="5"/>
  <c r="H140" i="5" s="1"/>
  <c r="G138" i="5"/>
  <c r="G124" i="5"/>
  <c r="G122" i="5"/>
  <c r="G108" i="5"/>
  <c r="G106" i="5"/>
  <c r="G92" i="5"/>
  <c r="G89" i="5"/>
  <c r="G76" i="5"/>
  <c r="G73" i="5"/>
  <c r="H73" i="5" s="1"/>
  <c r="G18" i="5"/>
  <c r="H18" i="5" s="1"/>
  <c r="G14" i="5"/>
  <c r="G10" i="5"/>
  <c r="G6" i="5"/>
  <c r="H6" i="5" s="1"/>
  <c r="G2" i="5"/>
  <c r="G169" i="5"/>
  <c r="H169" i="5" s="1"/>
  <c r="G139" i="5"/>
  <c r="G107" i="5"/>
  <c r="H107" i="5" s="1"/>
  <c r="G90" i="5"/>
  <c r="G75" i="5"/>
  <c r="G171" i="5"/>
  <c r="G74" i="5"/>
  <c r="H74" i="5" s="1"/>
  <c r="G16" i="5"/>
  <c r="H16" i="5" s="1"/>
  <c r="G12" i="5"/>
  <c r="H12" i="5" s="1"/>
  <c r="G8" i="5"/>
  <c r="H8" i="5" s="1"/>
  <c r="G4" i="5"/>
  <c r="H4" i="5" s="1"/>
  <c r="G164" i="5"/>
  <c r="G163" i="5"/>
  <c r="H163" i="5" s="1"/>
  <c r="G162" i="5"/>
  <c r="G161" i="5"/>
  <c r="G148" i="5"/>
  <c r="G147" i="5"/>
  <c r="G146" i="5"/>
  <c r="H146" i="5" s="1"/>
  <c r="G145" i="5"/>
  <c r="H145" i="5" s="1"/>
  <c r="G132" i="5"/>
  <c r="G131" i="5"/>
  <c r="G130" i="5"/>
  <c r="G129" i="5"/>
  <c r="H129" i="5" s="1"/>
  <c r="G116" i="5"/>
  <c r="G115" i="5"/>
  <c r="H115" i="5" s="1"/>
  <c r="G114" i="5"/>
  <c r="H114" i="5" s="1"/>
  <c r="G113" i="5"/>
  <c r="H113" i="5" s="1"/>
  <c r="G100" i="5"/>
  <c r="G99" i="5"/>
  <c r="G98" i="5"/>
  <c r="G97" i="5"/>
  <c r="G84" i="5"/>
  <c r="G83" i="5"/>
  <c r="G82" i="5"/>
  <c r="H82" i="5" s="1"/>
  <c r="G81" i="5"/>
  <c r="G68" i="5"/>
  <c r="G67" i="5"/>
  <c r="G66" i="5"/>
  <c r="G65" i="5"/>
  <c r="G52" i="5"/>
  <c r="G51" i="5"/>
  <c r="H51" i="5" s="1"/>
  <c r="G50" i="5"/>
  <c r="H50" i="5" s="1"/>
  <c r="G49" i="5"/>
  <c r="H49" i="5" s="1"/>
  <c r="G36" i="5"/>
  <c r="G35" i="5"/>
  <c r="G34" i="5"/>
  <c r="G33" i="5"/>
  <c r="G85" i="5"/>
  <c r="F89" i="5"/>
  <c r="H89" i="5" s="1"/>
  <c r="G117" i="5"/>
  <c r="F121" i="5"/>
  <c r="H121" i="5" s="1"/>
  <c r="H85" i="5"/>
  <c r="H149" i="5"/>
  <c r="H165" i="5"/>
  <c r="H23" i="5"/>
  <c r="H71" i="5"/>
  <c r="H135" i="5"/>
  <c r="H151" i="5"/>
  <c r="H167" i="5"/>
  <c r="H93" i="5"/>
  <c r="H95" i="5"/>
  <c r="H111" i="5"/>
  <c r="H176" i="5"/>
  <c r="H178" i="5"/>
  <c r="H179" i="5"/>
  <c r="H185" i="5"/>
  <c r="H187" i="5"/>
  <c r="H189" i="5"/>
  <c r="H33" i="5"/>
  <c r="H65" i="5"/>
  <c r="H97" i="5"/>
  <c r="H34" i="5"/>
  <c r="H83" i="5"/>
  <c r="H98" i="5"/>
  <c r="H147" i="5"/>
  <c r="H139" i="5" l="1"/>
  <c r="H45" i="5"/>
  <c r="H3" i="5"/>
  <c r="H92" i="5"/>
  <c r="H91" i="5"/>
  <c r="H81" i="5"/>
  <c r="H59" i="5"/>
  <c r="H123" i="5"/>
  <c r="H108" i="5"/>
  <c r="H77" i="5"/>
  <c r="H7" i="5"/>
  <c r="H64" i="5"/>
  <c r="H128" i="5"/>
  <c r="H160" i="5"/>
  <c r="H177" i="5"/>
  <c r="H134" i="5"/>
  <c r="H31" i="5"/>
  <c r="H63" i="5"/>
  <c r="H127" i="5"/>
  <c r="H159" i="5"/>
  <c r="H120" i="5"/>
  <c r="H144" i="5"/>
  <c r="H188" i="5"/>
  <c r="H117" i="5"/>
  <c r="H11" i="5"/>
  <c r="H36" i="5"/>
  <c r="H68" i="5"/>
  <c r="H100" i="5"/>
  <c r="H132" i="5"/>
  <c r="H164" i="5"/>
  <c r="H181" i="5"/>
  <c r="H138" i="5"/>
  <c r="H170" i="5"/>
  <c r="H35" i="5"/>
  <c r="H67" i="5"/>
  <c r="H99" i="5"/>
  <c r="H131" i="5"/>
  <c r="H2" i="5"/>
  <c r="H156" i="5"/>
  <c r="H15" i="5"/>
  <c r="H40" i="5"/>
  <c r="H46" i="5"/>
  <c r="H78" i="5"/>
  <c r="H174" i="5"/>
  <c r="H88" i="5"/>
  <c r="H152" i="5"/>
  <c r="H96" i="5"/>
  <c r="H168" i="5"/>
  <c r="H48" i="5"/>
  <c r="H80" i="5"/>
  <c r="H112" i="5"/>
  <c r="H32" i="5"/>
  <c r="H84" i="5"/>
  <c r="H116" i="5"/>
  <c r="H148" i="5"/>
</calcChain>
</file>

<file path=xl/sharedStrings.xml><?xml version="1.0" encoding="utf-8"?>
<sst xmlns="http://schemas.openxmlformats.org/spreadsheetml/2006/main" count="1598" uniqueCount="476">
  <si>
    <t>Energy Security Index — Step 4: GDP per Capita (2024)</t>
  </si>
  <si>
    <t>Purpose</t>
  </si>
  <si>
    <t>Retain only countries with a numeric Step 3 score, rank those with usable 2024 GDP per capita data, and normalize GDP per capita logarithmically to 0–100.</t>
  </si>
  <si>
    <t>Step 3 eligibility rule</t>
  </si>
  <si>
    <t>A country is eligible only if it has a numeric value in Country Calc → Step 3 Score (0-100) in the BACI Step 3 workbook.</t>
  </si>
  <si>
    <t>GDP source rule</t>
  </si>
  <si>
    <t>Countries must also have a positive numeric GDP per capita value in the uploaded 2024 constant-2015-US$ World Bank source.</t>
  </si>
  <si>
    <t>Step 4 formula</t>
  </si>
  <si>
    <t>100 × [ln(GDPpcᵢ) − ln(GDPpcₘᵢₙ)] / [ln(GDPpcₘₐₓ) − ln(GDPpcₘᵢₙ)]</t>
  </si>
  <si>
    <t>Ranking</t>
  </si>
  <si>
    <t>GDP per capita descending; rank 1 is the highest GDP per capita among Step 3-eligible countries with GDP data.</t>
  </si>
  <si>
    <t>Step 3-scored countries</t>
  </si>
  <si>
    <t>Countries with usable GDP data</t>
  </si>
  <si>
    <t>Step 3-scored countries missing GDP data</t>
  </si>
  <si>
    <t>GDP source file</t>
  </si>
  <si>
    <t>Step 4. GDP Per Capita 2024_2015USD.xls</t>
  </si>
  <si>
    <t>Step 3 source file</t>
  </si>
  <si>
    <t>Energy_Security_Index_Step3_BACI_2024.xlsx</t>
  </si>
  <si>
    <t>GDP indicator</t>
  </si>
  <si>
    <t>GDP per capita (constant 2015 US$)</t>
  </si>
  <si>
    <t>Important</t>
  </si>
  <si>
    <t>The min and max used in the formula are calculated only from the retained Step 3-eligible countries with usable GDP data, not from the entire World Bank file.</t>
  </si>
  <si>
    <t>Parameter</t>
  </si>
  <si>
    <t>Value</t>
  </si>
  <si>
    <t>Notes</t>
  </si>
  <si>
    <t>Eligible country count</t>
  </si>
  <si>
    <t>Count of countries in filtered GDP source</t>
  </si>
  <si>
    <t>GDPpc minimum</t>
  </si>
  <si>
    <t>Minimum among retained countries</t>
  </si>
  <si>
    <t>GDPpc maximum</t>
  </si>
  <si>
    <t>Maximum among retained countries</t>
  </si>
  <si>
    <t>ln(GDPpc minimum)</t>
  </si>
  <si>
    <t>Natural log of eligible minimum</t>
  </si>
  <si>
    <t>ln(GDPpc maximum)</t>
  </si>
  <si>
    <t>Natural log of eligible maximum</t>
  </si>
  <si>
    <t>ISO3</t>
  </si>
  <si>
    <t>Step 3 Country</t>
  </si>
  <si>
    <t>Step 3 Score (0-100)</t>
  </si>
  <si>
    <t>GDP Source Country</t>
  </si>
  <si>
    <t>GDP per Capita (constant 2015 US$)</t>
  </si>
  <si>
    <t>Included in Step 4</t>
  </si>
  <si>
    <t>Exclusion Reason</t>
  </si>
  <si>
    <t>AFG</t>
  </si>
  <si>
    <t>Afghanistan</t>
  </si>
  <si>
    <t>Yes</t>
  </si>
  <si>
    <t>ALB</t>
  </si>
  <si>
    <t>Albania</t>
  </si>
  <si>
    <t>DZA</t>
  </si>
  <si>
    <t>Algeria</t>
  </si>
  <si>
    <t>ASM</t>
  </si>
  <si>
    <t>American Samoa</t>
  </si>
  <si>
    <t>No</t>
  </si>
  <si>
    <t>No usable 2024 GDP per capita value in uploaded Step 4 source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</si>
  <si>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</si>
  <si>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</si>
  <si>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</si>
  <si>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</si>
  <si>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</si>
  <si>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</si>
  <si>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</si>
  <si>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</si>
  <si>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</si>
  <si>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</si>
  <si>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</si>
  <si>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</si>
  <si>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</si>
  <si>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</si>
  <si>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</si>
  <si>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</si>
  <si>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</si>
  <si>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</si>
  <si>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</si>
  <si>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</si>
  <si>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</si>
  <si>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</si>
  <si>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</si>
  <si>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</si>
  <si>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</si>
  <si>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</si>
  <si>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</si>
  <si>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</si>
  <si>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</si>
  <si>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</si>
  <si>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</si>
  <si>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</si>
  <si>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</si>
  <si>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</si>
  <si>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</si>
  <si>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</si>
  <si>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</si>
  <si>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</si>
  <si>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 (Plurinational State of)</t>
  </si>
  <si>
    <t>Bolivia</t>
  </si>
  <si>
    <t>BIH</t>
  </si>
  <si>
    <t>Bosnia Herzegovina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</si>
  <si>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</si>
  <si>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</si>
  <si>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</si>
  <si>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</si>
  <si>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</si>
  <si>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</si>
  <si>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</si>
  <si>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</si>
  <si>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</si>
  <si>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</si>
  <si>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</si>
  <si>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</si>
  <si>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</si>
  <si>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</si>
  <si>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</si>
  <si>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</si>
  <si>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</si>
  <si>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</si>
  <si>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</si>
  <si>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</si>
  <si>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</si>
  <si>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</si>
  <si>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Isds</t>
  </si>
  <si>
    <t>Cayman Islands</t>
  </si>
  <si>
    <t>CAF</t>
  </si>
  <si>
    <t>Central African Rep.</t>
  </si>
  <si>
    <t>Central African Republic</t>
  </si>
  <si>
    <t>TCD</t>
  </si>
  <si>
    <t>Chad</t>
  </si>
  <si>
    <t>CHL</t>
  </si>
  <si>
    <t>Chile</t>
  </si>
  <si>
    <t>CHN</t>
  </si>
  <si>
    <t>China</t>
  </si>
  <si>
    <t>HKG</t>
  </si>
  <si>
    <t>China, Hong Kong SAR</t>
  </si>
  <si>
    <t>Hong Kong SAR, China</t>
  </si>
  <si>
    <t>MAC</t>
  </si>
  <si>
    <t>China, Macao SAR</t>
  </si>
  <si>
    <t>Macao SAR, China</t>
  </si>
  <si>
    <t>COL</t>
  </si>
  <si>
    <t>Colombia</t>
  </si>
  <si>
    <t>COM</t>
  </si>
  <si>
    <t>Comoros</t>
  </si>
  <si>
    <t>COG</t>
  </si>
  <si>
    <t>Congo</t>
  </si>
  <si>
    <t>Congo, Rep.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</si>
  <si>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</si>
  <si>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</si>
  <si>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</si>
  <si>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</si>
  <si>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</si>
  <si>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</si>
  <si>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</si>
  <si>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</si>
  <si>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</si>
  <si>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</si>
  <si>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</si>
  <si>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CÃ´te d'Ivoire</t>
  </si>
  <si>
    <t>Cote d'Ivoire</t>
  </si>
  <si>
    <t>PRK</t>
  </si>
  <si>
    <t>Dem. People's Rep. of Korea</t>
  </si>
  <si>
    <t>COD</t>
  </si>
  <si>
    <t>Dem. Rep. of the Congo</t>
  </si>
  <si>
    <t>Congo, Dem. Rep.</t>
  </si>
  <si>
    <t>DNK</t>
  </si>
  <si>
    <t>Denmark</t>
  </si>
  <si>
    <t>DJI</t>
  </si>
  <si>
    <t>Djibouti</t>
  </si>
  <si>
    <t>DMA</t>
  </si>
  <si>
    <t>Dominica</t>
  </si>
  <si>
    <t>DOM</t>
  </si>
  <si>
    <t>Dominican Rep.</t>
  </si>
  <si>
    <t>Dominican Republic</t>
  </si>
  <si>
    <t>ECU</t>
  </si>
  <si>
    <t>Ecuador</t>
  </si>
  <si>
    <t>EGY</t>
  </si>
  <si>
    <t>Egypt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</si>
  <si>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</si>
  <si>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</si>
  <si>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</si>
  <si>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</si>
  <si>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</si>
  <si>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</si>
  <si>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</si>
  <si>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</si>
  <si>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</si>
  <si>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</si>
  <si>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</si>
  <si>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</si>
  <si>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</si>
  <si>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FSM</t>
  </si>
  <si>
    <t>FS Micronesia</t>
  </si>
  <si>
    <t>Micronesia, Fed. Sts.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</si>
  <si>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</si>
  <si>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</si>
  <si>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</si>
  <si>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</si>
  <si>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</si>
  <si>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</si>
  <si>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</si>
  <si>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</si>
  <si>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</si>
  <si>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</si>
  <si>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</si>
  <si>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</si>
  <si>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</si>
  <si>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</si>
  <si>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</si>
  <si>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</si>
  <si>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</si>
  <si>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</si>
  <si>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</si>
  <si>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</si>
  <si>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</si>
  <si>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</si>
  <si>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</si>
  <si>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</si>
  <si>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</si>
  <si>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</si>
  <si>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</si>
  <si>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</si>
  <si>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</si>
  <si>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</si>
  <si>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</si>
  <si>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</si>
  <si>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</si>
  <si>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</si>
  <si>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</si>
  <si>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</si>
  <si>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</si>
  <si>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</si>
  <si>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</si>
  <si>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</si>
  <si>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</si>
  <si>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</si>
  <si>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</si>
  <si>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</si>
  <si>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</si>
  <si>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</si>
  <si>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</si>
  <si>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</si>
  <si>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</si>
  <si>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</si>
  <si>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</si>
  <si>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</si>
  <si>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</si>
  <si>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</si>
  <si>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</si>
  <si>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</si>
  <si>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</si>
  <si>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</si>
  <si>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</si>
  <si>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</si>
  <si>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</si>
  <si>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</si>
  <si>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</si>
  <si>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</si>
  <si>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</si>
  <si>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</si>
  <si>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</si>
  <si>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</si>
  <si>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</si>
  <si>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</si>
  <si>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</si>
  <si>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</si>
  <si>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</si>
  <si>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</si>
  <si>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Kyrgyz Republic</t>
  </si>
  <si>
    <t>LAO</t>
  </si>
  <si>
    <t>Lao People's Dem. Rep.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</si>
  <si>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</si>
  <si>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</si>
  <si>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</si>
  <si>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</si>
  <si>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</si>
  <si>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</si>
  <si>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</si>
  <si>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</si>
  <si>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</si>
  <si>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</si>
  <si>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</si>
  <si>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</si>
  <si>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</si>
  <si>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</si>
  <si>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</si>
  <si>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</si>
  <si>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</si>
  <si>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</si>
  <si>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</si>
  <si>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</si>
  <si>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</si>
  <si>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</si>
  <si>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</si>
  <si>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</si>
  <si>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</si>
  <si>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</si>
  <si>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</si>
  <si>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</si>
  <si>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</si>
  <si>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</si>
  <si>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</si>
  <si>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</si>
  <si>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</si>
  <si>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</si>
  <si>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</si>
  <si>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</si>
  <si>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</si>
  <si>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</si>
  <si>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</si>
  <si>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</si>
  <si>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</si>
  <si>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</si>
  <si>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</si>
  <si>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</si>
  <si>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</si>
  <si>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</si>
  <si>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</si>
  <si>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Naoero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</si>
  <si>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</si>
  <si>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</si>
  <si>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</si>
  <si>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</si>
  <si>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</si>
  <si>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</si>
  <si>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</si>
  <si>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</si>
  <si>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</si>
  <si>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</si>
  <si>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</si>
  <si>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</si>
  <si>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</si>
  <si>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</si>
  <si>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</si>
  <si>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</si>
  <si>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</si>
  <si>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</si>
  <si>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</si>
  <si>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</si>
  <si>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</si>
  <si>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</si>
  <si>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</si>
  <si>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</si>
  <si>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</si>
  <si>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</si>
  <si>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</si>
  <si>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</si>
  <si>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</si>
  <si>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</si>
  <si>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</si>
  <si>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</si>
  <si>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</si>
  <si>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</si>
  <si>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</si>
  <si>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</si>
  <si>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</si>
  <si>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</si>
  <si>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</si>
  <si>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Rep. of Korea</t>
  </si>
  <si>
    <t>Korea, Rep.</t>
  </si>
  <si>
    <t>MDA</t>
  </si>
  <si>
    <t>Rep. of Moldova</t>
  </si>
  <si>
    <t>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</si>
  <si>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</si>
  <si>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</si>
  <si>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</si>
  <si>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</si>
  <si>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</si>
  <si>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</si>
  <si>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</si>
  <si>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</si>
  <si>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St. Kitts and Nevis</t>
  </si>
  <si>
    <t>LCA</t>
  </si>
  <si>
    <t>Saint Lucia</t>
  </si>
  <si>
    <t>St. Lucia</t>
  </si>
  <si>
    <t>VCT</t>
  </si>
  <si>
    <t>Saint Vincent and the Grenadines</t>
  </si>
  <si>
    <t>St. Vincent and the Grenadines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</si>
  <si>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</si>
  <si>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</si>
  <si>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</si>
  <si>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</si>
  <si>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</si>
  <si>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</si>
  <si>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</si>
  <si>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</si>
  <si>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</si>
  <si>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</si>
  <si>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</si>
  <si>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</si>
  <si>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</si>
  <si>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</si>
  <si>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</si>
  <si>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</si>
  <si>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</si>
  <si>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</si>
  <si>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Slovak Republic</t>
  </si>
  <si>
    <t>SVN</t>
  </si>
  <si>
    <t>Slovenia</t>
  </si>
  <si>
    <t>SLB</t>
  </si>
  <si>
    <t>Solomon Isds</t>
  </si>
  <si>
    <t>Solomon Islands</t>
  </si>
  <si>
    <t>SOM</t>
  </si>
  <si>
    <t>Somalia</t>
  </si>
  <si>
    <t>Somalia, Fed. Rep.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</si>
  <si>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</si>
  <si>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</si>
  <si>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</si>
  <si>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</si>
  <si>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</si>
  <si>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</si>
  <si>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</si>
  <si>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</si>
  <si>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</si>
  <si>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</si>
  <si>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West Bank and Gaza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</si>
  <si>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</si>
  <si>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</si>
  <si>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</si>
  <si>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</si>
  <si>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</si>
  <si>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</si>
  <si>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</si>
  <si>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</si>
  <si>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</si>
  <si>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</si>
  <si>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</si>
  <si>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</si>
  <si>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</si>
  <si>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</si>
  <si>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</si>
  <si>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</si>
  <si>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</si>
  <si>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</si>
  <si>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</si>
  <si>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</si>
  <si>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</si>
  <si>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</si>
  <si>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</si>
  <si>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</si>
  <si>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</si>
  <si>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</si>
  <si>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TUR</t>
  </si>
  <si>
    <t>TÃ¼rkiye</t>
  </si>
  <si>
    <t>Turkiye</t>
  </si>
  <si>
    <t>USA</t>
  </si>
  <si>
    <t>United States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</si>
  <si>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</si>
  <si>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</si>
  <si>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</si>
  <si>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</si>
  <si>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</si>
  <si>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</si>
  <si>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</si>
  <si>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</si>
  <si>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TZA</t>
  </si>
  <si>
    <t>United Rep. of Tanzania</t>
  </si>
  <si>
    <t>Tanzania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</si>
  <si>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</si>
  <si>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</si>
  <si>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</si>
  <si>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</si>
  <si>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</si>
  <si>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</si>
  <si>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</si>
  <si>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</si>
  <si>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Venezuela, RB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</si>
  <si>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</si>
  <si>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</si>
  <si>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</si>
  <si>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</si>
  <si>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</si>
  <si>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</si>
  <si>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</si>
  <si>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</si>
  <si>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Indicator</t>
  </si>
  <si>
    <t>GDPpc Rank</t>
  </si>
  <si>
    <t>Country</t>
  </si>
  <si>
    <t>ln(GDPpcᵢ)</t>
  </si>
  <si>
    <t>ln(GDPpcₘᵢₙ)</t>
  </si>
  <si>
    <t>ln(GDPpcₘₐₓ)</t>
  </si>
  <si>
    <t>Step 4 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</si>
</sst>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00"/>
    <numFmt numFmtId="166" formatCode="0.0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ep3EligibilityTable" displayName="Step3EligibilityTable" ref="A1:G198" totalsRowShown="0">
  <tableColumns count="7">
    <tableColumn id="1" xr3:uid="{00000000-0010-0000-0000-000001000000}" name="ISO3"/>
    <tableColumn id="2" xr3:uid="{00000000-0010-0000-0000-000002000000}" name="Step 3 Country"/>
    <tableColumn id="3" xr3:uid="{00000000-0010-0000-0000-000003000000}" name="Step 3 Score (0-100)"/>
    <tableColumn id="4" xr3:uid="{00000000-0010-0000-0000-000004000000}" name="GDP Source Country"/>
    <tableColumn id="5" xr3:uid="{00000000-0010-0000-0000-000005000000}" name="GDP per Capita (constant 2015 US$)"/>
    <tableColumn id="6" xr3:uid="{00000000-0010-0000-0000-000006000000}" name="Included in Step 4"/>
    <tableColumn id="7" xr3:uid="{00000000-0010-0000-0000-000007000000}" name="Exclusio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teredGDPTable" displayName="FilteredGDPTable" ref="A1:F189" totalsRowShown="0">
  <tableColumns count="6">
    <tableColumn id="1" xr3:uid="{00000000-0010-0000-0100-000001000000}" name="GDP Source Country"/>
    <tableColumn id="2" xr3:uid="{00000000-0010-0000-0100-000002000000}" name="ISO3"/>
    <tableColumn id="3" xr3:uid="{00000000-0010-0000-0100-000003000000}" name="Indicator"/>
    <tableColumn id="4" xr3:uid="{00000000-0010-0000-0100-000004000000}" name="GDP per Capita (constant 2015 US$)"/>
    <tableColumn id="5" xr3:uid="{00000000-0010-0000-0100-000005000000}" name="Step 3 Country"/>
    <tableColumn id="6" xr3:uid="{00000000-0010-0000-0100-000006000000}" name="Step 3 Score (0-100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ep4ResultsTable" displayName="Step4ResultsTable" ref="A1:J189" totalsRowShown="0">
  <tableColumns count="10">
    <tableColumn id="1" xr3:uid="{00000000-0010-0000-0200-000001000000}" name="GDPpc Rank"/>
    <tableColumn id="2" xr3:uid="{00000000-0010-0000-0200-000002000000}" name="Country"/>
    <tableColumn id="3" xr3:uid="{00000000-0010-0000-0200-000003000000}" name="ISO3"/>
    <tableColumn id="4" xr3:uid="{00000000-0010-0000-0200-000004000000}" name="GDP per Capita (constant 2015 US$)"/>
    <tableColumn id="5" xr3:uid="{00000000-0010-0000-0200-000005000000}" name="ln(GDPpcᵢ)"/>
    <tableColumn id="6" xr3:uid="{00000000-0010-0000-0200-000006000000}" name="ln(GDPpcₘᵢₙ)"/>
    <tableColumn id="7" xr3:uid="{00000000-0010-0000-0200-000007000000}" name="ln(GDPpcₘₐₓ)"/>
    <tableColumn id="8" xr3:uid="{00000000-0010-0000-0200-000008000000}" name="Step 4 Score (0-100)"/>
    <tableColumn id="9" xr3:uid="{00000000-0010-0000-0200-000009000000}" name="Step 3 Score (0-100)"/>
    <tableColumn id="10" xr3:uid="{00000000-0010-0000-0200-00000A000000}" name="GDP Source 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4"/>
  <cols>
    <col min="1" max="1" width="30" customWidth="1"/>
    <col min="2" max="2" width="90" customWidth="1"/>
  </cols>
  <sheetData>
    <row r="1" spans="1:2" ht="57">
      <c r="A1" s="2" t="s">
        <v>0</v>
      </c>
      <c r="B1" s="2"/>
    </row>
    <row r="2" spans="1:2" ht="30">
      <c r="A2" s="1" t="s">
        <v>1</v>
      </c>
      <c r="B2" s="3" t="s">
        <v>2</v>
      </c>
    </row>
    <row r="3" spans="1:2" ht="30">
      <c r="A3" s="1" t="s">
        <v>3</v>
      </c>
      <c r="B3" s="3" t="s">
        <v>4</v>
      </c>
    </row>
    <row r="4" spans="1:2" ht="30">
      <c r="A4" s="1" t="s">
        <v>5</v>
      </c>
      <c r="B4" s="3" t="s">
        <v>6</v>
      </c>
    </row>
    <row r="5" spans="1:2" ht="16">
      <c r="A5" s="1" t="s">
        <v>7</v>
      </c>
      <c r="B5" s="3" t="s">
        <v>8</v>
      </c>
    </row>
    <row r="6" spans="1:2" ht="30">
      <c r="A6" s="1" t="s">
        <v>9</v>
      </c>
      <c r="B6" s="3" t="s">
        <v>10</v>
      </c>
    </row>
    <row r="7" spans="1:2" ht="16">
      <c r="A7" s="1" t="s">
        <v>11</v>
      </c>
      <c r="B7" s="3">
        <v>197</v>
      </c>
    </row>
    <row r="8" spans="1:2" ht="16">
      <c r="A8" s="1" t="s">
        <v>12</v>
      </c>
      <c r="B8" s="3">
        <v>188</v>
      </c>
    </row>
    <row r="9" spans="1:2" ht="32">
      <c r="A9" s="1" t="s">
        <v>13</v>
      </c>
      <c r="B9" s="3">
        <v>9</v>
      </c>
    </row>
    <row r="10" spans="1:2" ht="16">
      <c r="A10" s="1" t="s">
        <v>14</v>
      </c>
      <c r="B10" s="3" t="s">
        <v>15</v>
      </c>
    </row>
    <row r="11" spans="1:2" ht="16">
      <c r="A11" s="1" t="s">
        <v>16</v>
      </c>
      <c r="B11" s="3" t="s">
        <v>17</v>
      </c>
    </row>
    <row r="12" spans="1:2" ht="16">
      <c r="A12" s="1" t="s">
        <v>18</v>
      </c>
      <c r="B12" s="3" t="s">
        <v>19</v>
      </c>
    </row>
    <row r="13" spans="1:2" ht="30">
      <c r="A13" s="1" t="s">
        <v>20</v>
      </c>
      <c r="B13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1" width="28" customWidth="1"/>
    <col min="2" max="2" width="20" customWidth="1"/>
    <col min="3" max="3" width="46" customWidth="1"/>
  </cols>
  <sheetData>
    <row r="1" spans="1:3" ht="16">
      <c r="A1" s="4" t="s">
        <v>22</v>
      </c>
      <c r="B1" s="4" t="s">
        <v>23</v>
      </c>
      <c r="C1" s="4" t="s">
        <v>24</v>
      </c>
    </row>
    <row r="2" spans="1:3">
      <c r="A2" t="s">
        <v>25</v>
      </c>
      <c r="B2">
        <f>COUNT('GDP Source - Filtered'!D2:D189)</f>
        <v>188</v>
      </c>
      <c r="C2" t="s">
        <v>26</v>
      </c>
    </row>
    <row r="3" spans="1:3">
      <c r="A3" t="s">
        <v>27</v>
      </c>
      <c r="B3" s="5">
        <f>MIN('GDP Source - Filtered'!D2:D189)</f>
        <v>268.70085740000002</v>
      </c>
      <c r="C3" t="s">
        <v>28</v>
      </c>
    </row>
    <row r="4" spans="1:3">
      <c r="A4" t="s">
        <v>29</v>
      </c>
      <c r="B4" s="5">
        <f>MAX('GDP Source - Filtered'!D2:D189)</f>
        <v>116513.53660000001</v>
      </c>
      <c r="C4" t="s">
        <v>30</v>
      </c>
    </row>
    <row r="5" spans="1:3">
      <c r="A5" t="s">
        <v>31</v>
      </c>
      <c r="B5" s="6">
        <f>LN(B3)</f>
        <v>5.5935987065355954</v>
      </c>
      <c r="C5" t="s">
        <v>32</v>
      </c>
    </row>
    <row r="6" spans="1:3">
      <c r="A6" t="s">
        <v>33</v>
      </c>
      <c r="B6" s="6">
        <f>LN(B4)</f>
        <v>11.66576273922931</v>
      </c>
      <c r="C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8"/>
  <sheetViews>
    <sheetView workbookViewId="0"/>
  </sheetViews>
  <sheetFormatPr baseColWidth="10" defaultColWidth="8.83203125" defaultRowHeight="14"/>
  <cols>
    <col min="1" max="1" width="10" customWidth="1"/>
    <col min="2" max="2" width="28" customWidth="1"/>
    <col min="3" max="3" width="18" customWidth="1"/>
    <col min="4" max="4" width="30" customWidth="1"/>
    <col min="5" max="5" width="22" customWidth="1"/>
    <col min="6" max="6" width="18" customWidth="1"/>
    <col min="7" max="7" width="52" customWidth="1"/>
  </cols>
  <sheetData>
    <row r="1" spans="1:7" ht="32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</row>
    <row r="2" spans="1:7">
      <c r="A2" t="s">
        <v>42</v>
      </c>
      <c r="B2" t="s">
        <v>43</v>
      </c>
      <c r="C2" s="7">
        <v>36.049240418981</v>
      </c>
      <c r="D2" t="s">
        <v>43</v>
      </c>
      <c r="E2" s="5">
        <v>374.37669620000003</v>
      </c>
      <c r="F2" t="s">
        <v>44</v>
      </c>
      <c r="G2" s="3"/>
    </row>
    <row r="3" spans="1:7">
      <c r="A3" t="s">
        <v>45</v>
      </c>
      <c r="B3" t="s">
        <v>46</v>
      </c>
      <c r="C3" s="7">
        <v>84.115137700257648</v>
      </c>
      <c r="D3" t="s">
        <v>46</v>
      </c>
      <c r="E3" s="5">
        <v>6549.2338739999996</v>
      </c>
      <c r="F3" t="s">
        <v>44</v>
      </c>
      <c r="G3" s="3"/>
    </row>
    <row r="4" spans="1:7">
      <c r="A4" t="s">
        <v>47</v>
      </c>
      <c r="B4" t="s">
        <v>48</v>
      </c>
      <c r="C4" s="7">
        <v>100</v>
      </c>
      <c r="D4" t="s">
        <v>48</v>
      </c>
      <c r="E4" s="5">
        <v>4765.729002</v>
      </c>
      <c r="F4" t="s">
        <v>44</v>
      </c>
      <c r="G4" s="3"/>
    </row>
    <row r="5" spans="1:7" ht="15">
      <c r="A5" t="s">
        <v>49</v>
      </c>
      <c r="B5" t="s">
        <v>50</v>
      </c>
      <c r="C5" s="7">
        <v>33.562521041735216</v>
      </c>
      <c r="E5" s="5"/>
      <c r="F5" t="s">
        <v>51</v>
      </c>
      <c r="G5" s="3" t="s">
        <v>52</v>
      </c>
    </row>
    <row r="6" spans="1:7">
      <c r="A6" t="s">
        <v>53</v>
      </c>
      <c r="B6" t="s">
        <v>54</v>
      </c>
      <c r="C6" s="7">
        <v>100</v>
      </c>
      <c r="D6" t="s">
        <v>54</v>
      </c>
      <c r="E6" s="5">
        <v>2798.5939279999998</v>
      </c>
      <c r="F6" t="s">
        <v>44</v>
      </c>
      <c r="G6" s="3"/>
    </row>
    <row r="7" spans="1:7">
      <c r="A7" t="s">
        <v>55</v>
      </c>
      <c r="B7" t="s">
        <v>56</v>
      </c>
      <c r="C7" s="7">
        <v>32.820940208028425</v>
      </c>
      <c r="D7" t="s">
        <v>56</v>
      </c>
      <c r="E7" s="5">
        <v>18304.58368</v>
      </c>
      <c r="F7" t="s">
        <v>44</v>
      </c>
      <c r="G7" s="3"/>
    </row>
    <row r="8" spans="1:7">
      <c r="A8" t="s">
        <v>57</v>
      </c>
      <c r="B8" t="s">
        <v>58</v>
      </c>
      <c r="C8" s="7">
        <v>100</v>
      </c>
      <c r="D8" t="s">
        <v>58</v>
      </c>
      <c r="E8" s="5">
        <v>12774.35066</v>
      </c>
      <c r="F8" t="s">
        <v>44</v>
      </c>
      <c r="G8" s="3"/>
    </row>
    <row r="9" spans="1:7">
      <c r="A9" t="s">
        <v>59</v>
      </c>
      <c r="B9" t="s">
        <v>60</v>
      </c>
      <c r="C9" s="7">
        <v>42.592748265264355</v>
      </c>
      <c r="D9" t="s">
        <v>60</v>
      </c>
      <c r="E9" s="5">
        <v>5378.3180000000002</v>
      </c>
      <c r="F9" t="s">
        <v>44</v>
      </c>
      <c r="G9" s="3"/>
    </row>
    <row r="10" spans="1:7">
      <c r="A10" t="s">
        <v>61</v>
      </c>
      <c r="B10" t="s">
        <v>62</v>
      </c>
      <c r="C10" s="7">
        <v>28.305691376839871</v>
      </c>
      <c r="D10" t="s">
        <v>62</v>
      </c>
      <c r="E10" s="5">
        <v>33938.954180000001</v>
      </c>
      <c r="F10" t="s">
        <v>44</v>
      </c>
      <c r="G10" s="3"/>
    </row>
    <row r="11" spans="1:7">
      <c r="A11" t="s">
        <v>63</v>
      </c>
      <c r="B11" t="s">
        <v>64</v>
      </c>
      <c r="C11" s="7">
        <v>100</v>
      </c>
      <c r="D11" t="s">
        <v>64</v>
      </c>
      <c r="E11" s="5">
        <v>61486.381479999996</v>
      </c>
      <c r="F11" t="s">
        <v>44</v>
      </c>
      <c r="G11" s="3"/>
    </row>
    <row r="12" spans="1:7">
      <c r="A12" t="s">
        <v>65</v>
      </c>
      <c r="B12" t="s">
        <v>66</v>
      </c>
      <c r="C12" s="7">
        <v>54.875246241835185</v>
      </c>
      <c r="D12" t="s">
        <v>66</v>
      </c>
      <c r="E12" s="5">
        <v>45958.82501</v>
      </c>
      <c r="F12" t="s">
        <v>44</v>
      </c>
      <c r="G12" s="3"/>
    </row>
    <row r="13" spans="1:7">
      <c r="A13" t="s">
        <v>67</v>
      </c>
      <c r="B13" t="s">
        <v>68</v>
      </c>
      <c r="C13" s="7">
        <v>100</v>
      </c>
      <c r="D13" t="s">
        <v>68</v>
      </c>
      <c r="E13" s="5">
        <v>5876.0329549999997</v>
      </c>
      <c r="F13" t="s">
        <v>44</v>
      </c>
      <c r="G13" s="3"/>
    </row>
    <row r="14" spans="1:7">
      <c r="A14" t="s">
        <v>69</v>
      </c>
      <c r="B14" t="s">
        <v>70</v>
      </c>
      <c r="C14" s="7">
        <v>34.293393015419504</v>
      </c>
      <c r="D14" t="s">
        <v>71</v>
      </c>
      <c r="E14" s="5">
        <v>33968.203220000003</v>
      </c>
      <c r="F14" t="s">
        <v>44</v>
      </c>
      <c r="G14" s="3"/>
    </row>
    <row r="15" spans="1:7">
      <c r="A15" t="s">
        <v>72</v>
      </c>
      <c r="B15" t="s">
        <v>73</v>
      </c>
      <c r="C15" s="7">
        <v>100</v>
      </c>
      <c r="D15" t="s">
        <v>73</v>
      </c>
      <c r="E15" s="5">
        <v>25886.239320000001</v>
      </c>
      <c r="F15" t="s">
        <v>44</v>
      </c>
      <c r="G15" s="3"/>
    </row>
    <row r="16" spans="1:7">
      <c r="A16" t="s">
        <v>74</v>
      </c>
      <c r="B16" t="s">
        <v>75</v>
      </c>
      <c r="C16" s="7">
        <v>59.301518559446244</v>
      </c>
      <c r="D16" t="s">
        <v>75</v>
      </c>
      <c r="E16" s="5">
        <v>1941.278744</v>
      </c>
      <c r="F16" t="s">
        <v>44</v>
      </c>
      <c r="G16" s="3"/>
    </row>
    <row r="17" spans="1:7">
      <c r="A17" t="s">
        <v>76</v>
      </c>
      <c r="B17" t="s">
        <v>77</v>
      </c>
      <c r="C17" s="7">
        <v>42.742087226061834</v>
      </c>
      <c r="D17" t="s">
        <v>77</v>
      </c>
      <c r="E17" s="5">
        <v>22421.533360000001</v>
      </c>
      <c r="F17" t="s">
        <v>44</v>
      </c>
      <c r="G17" s="3"/>
    </row>
    <row r="18" spans="1:7">
      <c r="A18" t="s">
        <v>78</v>
      </c>
      <c r="B18" t="s">
        <v>79</v>
      </c>
      <c r="C18" s="7">
        <v>51.14868072510783</v>
      </c>
      <c r="D18" t="s">
        <v>79</v>
      </c>
      <c r="E18" s="5">
        <v>6814.3444339999996</v>
      </c>
      <c r="F18" t="s">
        <v>44</v>
      </c>
      <c r="G18" s="3"/>
    </row>
    <row r="19" spans="1:7">
      <c r="A19" t="s">
        <v>80</v>
      </c>
      <c r="B19" t="s">
        <v>81</v>
      </c>
      <c r="C19" s="7">
        <v>47.417999674012314</v>
      </c>
      <c r="D19" t="s">
        <v>81</v>
      </c>
      <c r="E19" s="5">
        <v>45019.698969999998</v>
      </c>
      <c r="F19" t="s">
        <v>44</v>
      </c>
      <c r="G19" s="3"/>
    </row>
    <row r="20" spans="1:7">
      <c r="A20" t="s">
        <v>82</v>
      </c>
      <c r="B20" t="s">
        <v>83</v>
      </c>
      <c r="C20" s="7">
        <v>48.982168910950165</v>
      </c>
      <c r="D20" t="s">
        <v>83</v>
      </c>
      <c r="E20" s="5">
        <v>6290.492945</v>
      </c>
      <c r="F20" t="s">
        <v>44</v>
      </c>
      <c r="G20" s="3"/>
    </row>
    <row r="21" spans="1:7">
      <c r="A21" t="s">
        <v>84</v>
      </c>
      <c r="B21" t="s">
        <v>85</v>
      </c>
      <c r="C21" s="7">
        <v>32.174157448897475</v>
      </c>
      <c r="D21" t="s">
        <v>85</v>
      </c>
      <c r="E21" s="5">
        <v>1324.783126</v>
      </c>
      <c r="F21" t="s">
        <v>44</v>
      </c>
      <c r="G21" s="3"/>
    </row>
    <row r="22" spans="1:7">
      <c r="A22" t="s">
        <v>86</v>
      </c>
      <c r="B22" t="s">
        <v>87</v>
      </c>
      <c r="C22" s="7">
        <v>34.836382816405752</v>
      </c>
      <c r="D22" t="s">
        <v>87</v>
      </c>
      <c r="E22" s="5">
        <v>116513.53660000001</v>
      </c>
      <c r="F22" t="s">
        <v>44</v>
      </c>
      <c r="G22" s="3"/>
    </row>
    <row r="23" spans="1:7">
      <c r="A23" t="s">
        <v>88</v>
      </c>
      <c r="B23" t="s">
        <v>89</v>
      </c>
      <c r="C23" s="7">
        <v>74.161990842641586</v>
      </c>
      <c r="D23" t="s">
        <v>89</v>
      </c>
      <c r="E23" s="5">
        <v>3717.2105310000002</v>
      </c>
      <c r="F23" t="s">
        <v>44</v>
      </c>
      <c r="G23" s="3"/>
    </row>
    <row r="24" spans="1:7">
      <c r="A24" t="s">
        <v>90</v>
      </c>
      <c r="B24" t="s">
        <v>91</v>
      </c>
      <c r="C24" s="7">
        <v>100</v>
      </c>
      <c r="D24" t="s">
        <v>92</v>
      </c>
      <c r="E24" s="5">
        <v>3045.6147660000001</v>
      </c>
      <c r="F24" t="s">
        <v>44</v>
      </c>
      <c r="G24" s="3"/>
    </row>
    <row r="25" spans="1:7">
      <c r="A25" t="s">
        <v>93</v>
      </c>
      <c r="B25" t="s">
        <v>94</v>
      </c>
      <c r="C25" s="7">
        <v>80.78064134936804</v>
      </c>
      <c r="D25" t="s">
        <v>95</v>
      </c>
      <c r="E25" s="5">
        <v>6746.953665</v>
      </c>
      <c r="F25" t="s">
        <v>44</v>
      </c>
      <c r="G25" s="3"/>
    </row>
    <row r="26" spans="1:7">
      <c r="A26" t="s">
        <v>96</v>
      </c>
      <c r="B26" t="s">
        <v>97</v>
      </c>
      <c r="C26" s="7">
        <v>75.653147232953231</v>
      </c>
      <c r="D26" t="s">
        <v>97</v>
      </c>
      <c r="E26" s="5">
        <v>6952.3477039999998</v>
      </c>
      <c r="F26" t="s">
        <v>44</v>
      </c>
      <c r="G26" s="3"/>
    </row>
    <row r="27" spans="1:7">
      <c r="A27" t="s">
        <v>98</v>
      </c>
      <c r="B27" t="s">
        <v>99</v>
      </c>
      <c r="C27" s="7">
        <v>100</v>
      </c>
      <c r="D27" t="s">
        <v>99</v>
      </c>
      <c r="E27" s="5">
        <v>9566.7451870000004</v>
      </c>
      <c r="F27" t="s">
        <v>44</v>
      </c>
      <c r="G27" s="3"/>
    </row>
    <row r="28" spans="1:7">
      <c r="A28" t="s">
        <v>100</v>
      </c>
      <c r="B28" t="s">
        <v>101</v>
      </c>
      <c r="C28" s="7">
        <v>100</v>
      </c>
      <c r="D28" t="s">
        <v>101</v>
      </c>
      <c r="E28" s="5">
        <v>29563.868279999999</v>
      </c>
      <c r="F28" t="s">
        <v>44</v>
      </c>
      <c r="G28" s="3"/>
    </row>
    <row r="29" spans="1:7">
      <c r="A29" t="s">
        <v>102</v>
      </c>
      <c r="B29" t="s">
        <v>103</v>
      </c>
      <c r="C29" s="7">
        <v>70.016429343157654</v>
      </c>
      <c r="D29" t="s">
        <v>103</v>
      </c>
      <c r="E29" s="5">
        <v>10127.41526</v>
      </c>
      <c r="F29" t="s">
        <v>44</v>
      </c>
      <c r="G29" s="3"/>
    </row>
    <row r="30" spans="1:7">
      <c r="A30" t="s">
        <v>104</v>
      </c>
      <c r="B30" t="s">
        <v>105</v>
      </c>
      <c r="C30" s="7">
        <v>30.734401520950307</v>
      </c>
      <c r="D30" t="s">
        <v>105</v>
      </c>
      <c r="E30" s="5">
        <v>764.08262560000003</v>
      </c>
      <c r="F30" t="s">
        <v>44</v>
      </c>
      <c r="G30" s="3"/>
    </row>
    <row r="31" spans="1:7">
      <c r="A31" t="s">
        <v>106</v>
      </c>
      <c r="B31" t="s">
        <v>107</v>
      </c>
      <c r="C31" s="7">
        <v>35.941092375102336</v>
      </c>
      <c r="D31" t="s">
        <v>107</v>
      </c>
      <c r="E31" s="5">
        <v>268.70085740000002</v>
      </c>
      <c r="F31" t="s">
        <v>44</v>
      </c>
      <c r="G31" s="3"/>
    </row>
    <row r="32" spans="1:7">
      <c r="A32" t="s">
        <v>108</v>
      </c>
      <c r="B32" t="s">
        <v>109</v>
      </c>
      <c r="C32" s="7">
        <v>40.606542539960209</v>
      </c>
      <c r="D32" t="s">
        <v>109</v>
      </c>
      <c r="E32" s="5">
        <v>4438.3874189999997</v>
      </c>
      <c r="F32" t="s">
        <v>44</v>
      </c>
      <c r="G32" s="3"/>
    </row>
    <row r="33" spans="1:7">
      <c r="A33" t="s">
        <v>110</v>
      </c>
      <c r="B33" t="s">
        <v>111</v>
      </c>
      <c r="C33" s="7">
        <v>41.72688302743385</v>
      </c>
      <c r="D33" t="s">
        <v>111</v>
      </c>
      <c r="E33" s="5">
        <v>2183.5568239999998</v>
      </c>
      <c r="F33" t="s">
        <v>44</v>
      </c>
      <c r="G33" s="3"/>
    </row>
    <row r="34" spans="1:7">
      <c r="A34" t="s">
        <v>112</v>
      </c>
      <c r="B34" t="s">
        <v>113</v>
      </c>
      <c r="C34" s="7">
        <v>100</v>
      </c>
      <c r="D34" t="s">
        <v>113</v>
      </c>
      <c r="E34" s="5">
        <v>1480.7309740000001</v>
      </c>
      <c r="F34" t="s">
        <v>44</v>
      </c>
      <c r="G34" s="3"/>
    </row>
    <row r="35" spans="1:7">
      <c r="A35" t="s">
        <v>114</v>
      </c>
      <c r="B35" t="s">
        <v>115</v>
      </c>
      <c r="C35" s="7">
        <v>100</v>
      </c>
      <c r="D35" t="s">
        <v>115</v>
      </c>
      <c r="E35" s="5">
        <v>45061.386460000002</v>
      </c>
      <c r="F35" t="s">
        <v>44</v>
      </c>
      <c r="G35" s="3"/>
    </row>
    <row r="36" spans="1:7">
      <c r="A36" t="s">
        <v>116</v>
      </c>
      <c r="B36" t="s">
        <v>117</v>
      </c>
      <c r="C36" s="7">
        <v>28.712950135578364</v>
      </c>
      <c r="D36" t="s">
        <v>118</v>
      </c>
      <c r="E36" s="5">
        <v>84381.473140000002</v>
      </c>
      <c r="F36" t="s">
        <v>44</v>
      </c>
      <c r="G36" s="3"/>
    </row>
    <row r="37" spans="1:7">
      <c r="A37" t="s">
        <v>119</v>
      </c>
      <c r="B37" t="s">
        <v>120</v>
      </c>
      <c r="C37" s="7">
        <v>30.610852770906117</v>
      </c>
      <c r="D37" t="s">
        <v>121</v>
      </c>
      <c r="E37" s="5">
        <v>389.93830800000001</v>
      </c>
      <c r="F37" t="s">
        <v>44</v>
      </c>
      <c r="G37" s="3"/>
    </row>
    <row r="38" spans="1:7">
      <c r="A38" t="s">
        <v>122</v>
      </c>
      <c r="B38" t="s">
        <v>123</v>
      </c>
      <c r="C38" s="7">
        <v>100</v>
      </c>
      <c r="D38" t="s">
        <v>123</v>
      </c>
      <c r="E38" s="5">
        <v>855.99935319999997</v>
      </c>
      <c r="F38" t="s">
        <v>44</v>
      </c>
      <c r="G38" s="3"/>
    </row>
    <row r="39" spans="1:7">
      <c r="A39" t="s">
        <v>124</v>
      </c>
      <c r="B39" t="s">
        <v>125</v>
      </c>
      <c r="C39" s="7">
        <v>48.787712903145717</v>
      </c>
      <c r="D39" t="s">
        <v>125</v>
      </c>
      <c r="E39" s="5">
        <v>14616.92879</v>
      </c>
      <c r="F39" t="s">
        <v>44</v>
      </c>
      <c r="G39" s="3"/>
    </row>
    <row r="40" spans="1:7">
      <c r="A40" t="s">
        <v>126</v>
      </c>
      <c r="B40" t="s">
        <v>127</v>
      </c>
      <c r="C40" s="7">
        <v>85.330489397257978</v>
      </c>
      <c r="D40" t="s">
        <v>127</v>
      </c>
      <c r="E40" s="5">
        <v>13119.107609999999</v>
      </c>
      <c r="F40" t="s">
        <v>44</v>
      </c>
      <c r="G40" s="3"/>
    </row>
    <row r="41" spans="1:7">
      <c r="A41" t="s">
        <v>128</v>
      </c>
      <c r="B41" t="s">
        <v>129</v>
      </c>
      <c r="C41" s="7">
        <v>35.265238892870165</v>
      </c>
      <c r="D41" t="s">
        <v>130</v>
      </c>
      <c r="E41" s="5">
        <v>44734.436529999999</v>
      </c>
      <c r="F41" t="s">
        <v>44</v>
      </c>
      <c r="G41" s="3"/>
    </row>
    <row r="42" spans="1:7">
      <c r="A42" t="s">
        <v>131</v>
      </c>
      <c r="B42" t="s">
        <v>132</v>
      </c>
      <c r="C42" s="7">
        <v>26.096174002018579</v>
      </c>
      <c r="D42" t="s">
        <v>133</v>
      </c>
      <c r="E42" s="5">
        <v>63377.293210000003</v>
      </c>
      <c r="F42" t="s">
        <v>44</v>
      </c>
      <c r="G42" s="3"/>
    </row>
    <row r="43" spans="1:7">
      <c r="A43" t="s">
        <v>134</v>
      </c>
      <c r="B43" t="s">
        <v>135</v>
      </c>
      <c r="C43" s="7">
        <v>100</v>
      </c>
      <c r="D43" t="s">
        <v>135</v>
      </c>
      <c r="E43" s="5">
        <v>6865.3128390000002</v>
      </c>
      <c r="F43" t="s">
        <v>44</v>
      </c>
      <c r="G43" s="3"/>
    </row>
    <row r="44" spans="1:7">
      <c r="A44" t="s">
        <v>136</v>
      </c>
      <c r="B44" t="s">
        <v>137</v>
      </c>
      <c r="C44" s="7">
        <v>30.752744636152396</v>
      </c>
      <c r="D44" t="s">
        <v>137</v>
      </c>
      <c r="E44" s="5">
        <v>1402.526143</v>
      </c>
      <c r="F44" t="s">
        <v>44</v>
      </c>
      <c r="G44" s="3"/>
    </row>
    <row r="45" spans="1:7">
      <c r="A45" t="s">
        <v>138</v>
      </c>
      <c r="B45" t="s">
        <v>139</v>
      </c>
      <c r="C45" s="7">
        <v>100</v>
      </c>
      <c r="D45" t="s">
        <v>140</v>
      </c>
      <c r="E45" s="5">
        <v>1671.726602</v>
      </c>
      <c r="F45" t="s">
        <v>44</v>
      </c>
      <c r="G45" s="3"/>
    </row>
    <row r="46" spans="1:7">
      <c r="A46" t="s">
        <v>141</v>
      </c>
      <c r="B46" t="s">
        <v>142</v>
      </c>
      <c r="C46" s="7">
        <v>44.488276955770566</v>
      </c>
      <c r="D46" t="s">
        <v>142</v>
      </c>
      <c r="E46" s="5">
        <v>15052.914989999999</v>
      </c>
      <c r="F46" t="s">
        <v>44</v>
      </c>
      <c r="G46" s="3"/>
    </row>
    <row r="47" spans="1:7">
      <c r="A47" t="s">
        <v>143</v>
      </c>
      <c r="B47" t="s">
        <v>144</v>
      </c>
      <c r="C47" s="7">
        <v>55.534354280732813</v>
      </c>
      <c r="D47" t="s">
        <v>144</v>
      </c>
      <c r="E47" s="5">
        <v>17854.326260000002</v>
      </c>
      <c r="F47" t="s">
        <v>44</v>
      </c>
      <c r="G47" s="3"/>
    </row>
    <row r="48" spans="1:7">
      <c r="A48" t="s">
        <v>145</v>
      </c>
      <c r="B48" t="s">
        <v>146</v>
      </c>
      <c r="C48" s="7">
        <v>59.043957342729989</v>
      </c>
      <c r="D48" t="s">
        <v>146</v>
      </c>
      <c r="E48" s="5">
        <v>7381.3977400000003</v>
      </c>
      <c r="F48" t="s">
        <v>44</v>
      </c>
      <c r="G48" s="3"/>
    </row>
    <row r="49" spans="1:7">
      <c r="A49" t="s">
        <v>147</v>
      </c>
      <c r="B49" t="s">
        <v>148</v>
      </c>
      <c r="C49" s="7">
        <v>37.013462625084671</v>
      </c>
      <c r="D49" t="s">
        <v>148</v>
      </c>
      <c r="E49" s="5">
        <v>32757.541020000001</v>
      </c>
      <c r="F49" t="s">
        <v>44</v>
      </c>
      <c r="G49" s="3"/>
    </row>
    <row r="50" spans="1:7">
      <c r="A50" t="s">
        <v>149</v>
      </c>
      <c r="B50" t="s">
        <v>150</v>
      </c>
      <c r="C50" s="7">
        <v>70.740625354621287</v>
      </c>
      <c r="D50" t="s">
        <v>150</v>
      </c>
      <c r="E50" s="5">
        <v>20449.113590000001</v>
      </c>
      <c r="F50" t="s">
        <v>44</v>
      </c>
      <c r="G50" s="3"/>
    </row>
    <row r="51" spans="1:7">
      <c r="A51" t="s">
        <v>151</v>
      </c>
      <c r="B51" t="s">
        <v>152</v>
      </c>
      <c r="C51" s="7">
        <v>75.164047467392948</v>
      </c>
      <c r="D51" t="s">
        <v>153</v>
      </c>
      <c r="E51" s="5">
        <v>2395.6591699999999</v>
      </c>
      <c r="F51" t="s">
        <v>44</v>
      </c>
      <c r="G51" s="3"/>
    </row>
    <row r="52" spans="1:7" ht="15">
      <c r="A52" t="s">
        <v>154</v>
      </c>
      <c r="B52" t="s">
        <v>155</v>
      </c>
      <c r="C52" s="7">
        <v>95.093428120402208</v>
      </c>
      <c r="E52" s="5"/>
      <c r="F52" t="s">
        <v>51</v>
      </c>
      <c r="G52" s="3" t="s">
        <v>52</v>
      </c>
    </row>
    <row r="53" spans="1:7">
      <c r="A53" t="s">
        <v>156</v>
      </c>
      <c r="B53" t="s">
        <v>157</v>
      </c>
      <c r="C53" s="7">
        <v>84.531400114273197</v>
      </c>
      <c r="D53" t="s">
        <v>158</v>
      </c>
      <c r="E53" s="5">
        <v>554.11761000000001</v>
      </c>
      <c r="F53" t="s">
        <v>44</v>
      </c>
      <c r="G53" s="3"/>
    </row>
    <row r="54" spans="1:7">
      <c r="A54" t="s">
        <v>159</v>
      </c>
      <c r="B54" t="s">
        <v>160</v>
      </c>
      <c r="C54" s="7">
        <v>76.616861061597646</v>
      </c>
      <c r="D54" t="s">
        <v>160</v>
      </c>
      <c r="E54" s="5">
        <v>60772.862430000001</v>
      </c>
      <c r="F54" t="s">
        <v>44</v>
      </c>
      <c r="G54" s="3"/>
    </row>
    <row r="55" spans="1:7">
      <c r="A55" t="s">
        <v>161</v>
      </c>
      <c r="B55" t="s">
        <v>162</v>
      </c>
      <c r="C55" s="7">
        <v>23.957503617550337</v>
      </c>
      <c r="D55" t="s">
        <v>162</v>
      </c>
      <c r="E55" s="5">
        <v>3290.4248210000001</v>
      </c>
      <c r="F55" t="s">
        <v>44</v>
      </c>
      <c r="G55" s="3"/>
    </row>
    <row r="56" spans="1:7">
      <c r="A56" t="s">
        <v>163</v>
      </c>
      <c r="B56" t="s">
        <v>164</v>
      </c>
      <c r="C56" s="7">
        <v>33.72514825680377</v>
      </c>
      <c r="D56" t="s">
        <v>164</v>
      </c>
      <c r="E56" s="5">
        <v>9172.7104959999997</v>
      </c>
      <c r="F56" t="s">
        <v>44</v>
      </c>
      <c r="G56" s="3"/>
    </row>
    <row r="57" spans="1:7">
      <c r="A57" t="s">
        <v>165</v>
      </c>
      <c r="B57" t="s">
        <v>166</v>
      </c>
      <c r="C57" s="7">
        <v>31.345941287241907</v>
      </c>
      <c r="D57" t="s">
        <v>167</v>
      </c>
      <c r="E57" s="5">
        <v>9168.454189</v>
      </c>
      <c r="F57" t="s">
        <v>44</v>
      </c>
      <c r="G57" s="3"/>
    </row>
    <row r="58" spans="1:7">
      <c r="A58" t="s">
        <v>168</v>
      </c>
      <c r="B58" t="s">
        <v>169</v>
      </c>
      <c r="C58" s="7">
        <v>100</v>
      </c>
      <c r="D58" t="s">
        <v>169</v>
      </c>
      <c r="E58" s="5">
        <v>5993.7469780000001</v>
      </c>
      <c r="F58" t="s">
        <v>44</v>
      </c>
      <c r="G58" s="3"/>
    </row>
    <row r="59" spans="1:7">
      <c r="A59" t="s">
        <v>170</v>
      </c>
      <c r="B59" t="s">
        <v>171</v>
      </c>
      <c r="C59" s="7">
        <v>82.51499266704883</v>
      </c>
      <c r="D59" t="s">
        <v>172</v>
      </c>
      <c r="E59" s="5">
        <v>4137.6092920000001</v>
      </c>
      <c r="F59" t="s">
        <v>44</v>
      </c>
      <c r="G59" s="3"/>
    </row>
    <row r="60" spans="1:7">
      <c r="A60" t="s">
        <v>173</v>
      </c>
      <c r="B60" t="s">
        <v>174</v>
      </c>
      <c r="C60" s="7">
        <v>38.185357174046253</v>
      </c>
      <c r="D60" t="s">
        <v>174</v>
      </c>
      <c r="E60" s="5">
        <v>4576.5584660000004</v>
      </c>
      <c r="F60" t="s">
        <v>44</v>
      </c>
      <c r="G60" s="3"/>
    </row>
    <row r="61" spans="1:7">
      <c r="A61" t="s">
        <v>175</v>
      </c>
      <c r="B61" t="s">
        <v>176</v>
      </c>
      <c r="C61" s="7">
        <v>100</v>
      </c>
      <c r="D61" t="s">
        <v>176</v>
      </c>
      <c r="E61" s="5">
        <v>4892.9531049999996</v>
      </c>
      <c r="F61" t="s">
        <v>44</v>
      </c>
      <c r="G61" s="3"/>
    </row>
    <row r="62" spans="1:7" ht="15">
      <c r="A62" t="s">
        <v>177</v>
      </c>
      <c r="B62" t="s">
        <v>178</v>
      </c>
      <c r="C62" s="7">
        <v>31.280865704033868</v>
      </c>
      <c r="E62" s="5"/>
      <c r="F62" t="s">
        <v>51</v>
      </c>
      <c r="G62" s="3" t="s">
        <v>52</v>
      </c>
    </row>
    <row r="63" spans="1:7">
      <c r="A63" t="s">
        <v>179</v>
      </c>
      <c r="B63" t="s">
        <v>180</v>
      </c>
      <c r="C63" s="7">
        <v>51.720573188082696</v>
      </c>
      <c r="D63" t="s">
        <v>180</v>
      </c>
      <c r="E63" s="5">
        <v>20078.139759999998</v>
      </c>
      <c r="F63" t="s">
        <v>44</v>
      </c>
      <c r="G63" s="3"/>
    </row>
    <row r="64" spans="1:7">
      <c r="A64" t="s">
        <v>181</v>
      </c>
      <c r="B64" t="s">
        <v>182</v>
      </c>
      <c r="C64" s="7">
        <v>59.329804566812662</v>
      </c>
      <c r="D64" t="s">
        <v>182</v>
      </c>
      <c r="E64" s="5">
        <v>3866.371279</v>
      </c>
      <c r="F64" t="s">
        <v>44</v>
      </c>
      <c r="G64" s="3"/>
    </row>
    <row r="65" spans="1:7">
      <c r="A65" t="s">
        <v>183</v>
      </c>
      <c r="B65" t="s">
        <v>184</v>
      </c>
      <c r="C65" s="7">
        <v>48.244984553618472</v>
      </c>
      <c r="D65" t="s">
        <v>184</v>
      </c>
      <c r="E65" s="5">
        <v>883.45858859999998</v>
      </c>
      <c r="F65" t="s">
        <v>44</v>
      </c>
      <c r="G65" s="3"/>
    </row>
    <row r="66" spans="1:7">
      <c r="A66" t="s">
        <v>185</v>
      </c>
      <c r="B66" t="s">
        <v>186</v>
      </c>
      <c r="C66" s="7">
        <v>40.228422238395801</v>
      </c>
      <c r="D66" t="s">
        <v>187</v>
      </c>
      <c r="E66" s="5">
        <v>3001.7966970000002</v>
      </c>
      <c r="F66" t="s">
        <v>44</v>
      </c>
      <c r="G66" s="3"/>
    </row>
    <row r="67" spans="1:7">
      <c r="A67" t="s">
        <v>188</v>
      </c>
      <c r="B67" t="s">
        <v>189</v>
      </c>
      <c r="C67" s="7">
        <v>38.389234882697899</v>
      </c>
      <c r="D67" t="s">
        <v>189</v>
      </c>
      <c r="E67" s="5">
        <v>5935.2089569999998</v>
      </c>
      <c r="F67" t="s">
        <v>44</v>
      </c>
      <c r="G67" s="3"/>
    </row>
    <row r="68" spans="1:7">
      <c r="A68" t="s">
        <v>190</v>
      </c>
      <c r="B68" t="s">
        <v>191</v>
      </c>
      <c r="C68" s="7">
        <v>71.706223445736001</v>
      </c>
      <c r="D68" t="s">
        <v>191</v>
      </c>
      <c r="E68" s="5">
        <v>45075.168489999996</v>
      </c>
      <c r="F68" t="s">
        <v>44</v>
      </c>
      <c r="G68" s="3"/>
    </row>
    <row r="69" spans="1:7">
      <c r="A69" t="s">
        <v>192</v>
      </c>
      <c r="B69" t="s">
        <v>193</v>
      </c>
      <c r="C69" s="7">
        <v>69.60267677428385</v>
      </c>
      <c r="D69" t="s">
        <v>193</v>
      </c>
      <c r="E69" s="5">
        <v>39683.395349999999</v>
      </c>
      <c r="F69" t="s">
        <v>44</v>
      </c>
      <c r="G69" s="3"/>
    </row>
    <row r="70" spans="1:7">
      <c r="A70" t="s">
        <v>194</v>
      </c>
      <c r="B70" t="s">
        <v>195</v>
      </c>
      <c r="C70" s="7">
        <v>40.321336659238796</v>
      </c>
      <c r="D70" t="s">
        <v>195</v>
      </c>
      <c r="E70" s="5">
        <v>20846.651409999999</v>
      </c>
      <c r="F70" t="s">
        <v>44</v>
      </c>
      <c r="G70" s="3"/>
    </row>
    <row r="71" spans="1:7">
      <c r="A71" t="s">
        <v>196</v>
      </c>
      <c r="B71" t="s">
        <v>197</v>
      </c>
      <c r="C71" s="7">
        <v>100</v>
      </c>
      <c r="D71" t="s">
        <v>197</v>
      </c>
      <c r="E71" s="5">
        <v>6618.9868589999996</v>
      </c>
      <c r="F71" t="s">
        <v>44</v>
      </c>
      <c r="G71" s="3"/>
    </row>
    <row r="72" spans="1:7">
      <c r="A72" t="s">
        <v>198</v>
      </c>
      <c r="B72" t="s">
        <v>199</v>
      </c>
      <c r="C72" s="7">
        <v>34.978163662234074</v>
      </c>
      <c r="D72" t="s">
        <v>200</v>
      </c>
      <c r="E72" s="5">
        <v>758.96588880000002</v>
      </c>
      <c r="F72" t="s">
        <v>44</v>
      </c>
      <c r="G72" s="3"/>
    </row>
    <row r="73" spans="1:7">
      <c r="A73" t="s">
        <v>201</v>
      </c>
      <c r="B73" t="s">
        <v>202</v>
      </c>
      <c r="C73" s="7">
        <v>44.985932729102885</v>
      </c>
      <c r="D73" t="s">
        <v>202</v>
      </c>
      <c r="E73" s="5">
        <v>6606.3577230000001</v>
      </c>
      <c r="F73" t="s">
        <v>44</v>
      </c>
      <c r="G73" s="3"/>
    </row>
    <row r="74" spans="1:7">
      <c r="A74" t="s">
        <v>203</v>
      </c>
      <c r="B74" t="s">
        <v>204</v>
      </c>
      <c r="C74" s="7">
        <v>56.000510188943849</v>
      </c>
      <c r="D74" t="s">
        <v>204</v>
      </c>
      <c r="E74" s="5">
        <v>44027.763160000002</v>
      </c>
      <c r="F74" t="s">
        <v>44</v>
      </c>
      <c r="G74" s="3"/>
    </row>
    <row r="75" spans="1:7">
      <c r="A75" t="s">
        <v>205</v>
      </c>
      <c r="B75" t="s">
        <v>206</v>
      </c>
      <c r="C75" s="7">
        <v>100</v>
      </c>
      <c r="D75" t="s">
        <v>206</v>
      </c>
      <c r="E75" s="5">
        <v>2173.0032980000001</v>
      </c>
      <c r="F75" t="s">
        <v>44</v>
      </c>
      <c r="G75" s="3"/>
    </row>
    <row r="76" spans="1:7">
      <c r="A76" t="s">
        <v>207</v>
      </c>
      <c r="B76" t="s">
        <v>208</v>
      </c>
      <c r="C76" s="7">
        <v>43.766517554706098</v>
      </c>
      <c r="D76" t="s">
        <v>208</v>
      </c>
      <c r="E76" s="5">
        <v>21494.68561</v>
      </c>
      <c r="F76" t="s">
        <v>44</v>
      </c>
      <c r="G76" s="3"/>
    </row>
    <row r="77" spans="1:7" ht="15">
      <c r="A77" t="s">
        <v>209</v>
      </c>
      <c r="B77" t="s">
        <v>210</v>
      </c>
      <c r="C77" s="7">
        <v>46.012968146106772</v>
      </c>
      <c r="E77" s="5"/>
      <c r="F77" t="s">
        <v>51</v>
      </c>
      <c r="G77" s="3" t="s">
        <v>52</v>
      </c>
    </row>
    <row r="78" spans="1:7">
      <c r="A78" t="s">
        <v>211</v>
      </c>
      <c r="B78" t="s">
        <v>212</v>
      </c>
      <c r="C78" s="7">
        <v>24.066066166222488</v>
      </c>
      <c r="D78" t="s">
        <v>212</v>
      </c>
      <c r="E78" s="5">
        <v>10042.650310000001</v>
      </c>
      <c r="F78" t="s">
        <v>44</v>
      </c>
      <c r="G78" s="3"/>
    </row>
    <row r="79" spans="1:7" ht="15">
      <c r="A79" t="s">
        <v>213</v>
      </c>
      <c r="B79" t="s">
        <v>214</v>
      </c>
      <c r="C79" s="7">
        <v>38.90525270794857</v>
      </c>
      <c r="E79" s="5"/>
      <c r="F79" t="s">
        <v>51</v>
      </c>
      <c r="G79" s="3" t="s">
        <v>52</v>
      </c>
    </row>
    <row r="80" spans="1:7">
      <c r="A80" t="s">
        <v>215</v>
      </c>
      <c r="B80" t="s">
        <v>216</v>
      </c>
      <c r="C80" s="7">
        <v>40.086649494773994</v>
      </c>
      <c r="D80" t="s">
        <v>216</v>
      </c>
      <c r="E80" s="5">
        <v>4564.2137849999999</v>
      </c>
      <c r="F80" t="s">
        <v>44</v>
      </c>
      <c r="G80" s="3"/>
    </row>
    <row r="81" spans="1:7">
      <c r="A81" t="s">
        <v>217</v>
      </c>
      <c r="B81" t="s">
        <v>218</v>
      </c>
      <c r="C81" s="7">
        <v>42.178536258568165</v>
      </c>
      <c r="D81" t="s">
        <v>218</v>
      </c>
      <c r="E81" s="5">
        <v>1045.9220749999999</v>
      </c>
      <c r="F81" t="s">
        <v>44</v>
      </c>
      <c r="G81" s="3"/>
    </row>
    <row r="82" spans="1:7">
      <c r="A82" t="s">
        <v>219</v>
      </c>
      <c r="B82" t="s">
        <v>220</v>
      </c>
      <c r="C82" s="7">
        <v>27.867709951716556</v>
      </c>
      <c r="D82" t="s">
        <v>220</v>
      </c>
      <c r="E82" s="5">
        <v>785.9102196</v>
      </c>
      <c r="F82" t="s">
        <v>44</v>
      </c>
      <c r="G82" s="3"/>
    </row>
    <row r="83" spans="1:7">
      <c r="A83" t="s">
        <v>221</v>
      </c>
      <c r="B83" t="s">
        <v>222</v>
      </c>
      <c r="C83" s="7">
        <v>24.425881384786475</v>
      </c>
      <c r="D83" t="s">
        <v>222</v>
      </c>
      <c r="E83" s="5">
        <v>33034.94887</v>
      </c>
      <c r="F83" t="s">
        <v>44</v>
      </c>
      <c r="G83" s="3"/>
    </row>
    <row r="84" spans="1:7">
      <c r="A84" t="s">
        <v>223</v>
      </c>
      <c r="B84" t="s">
        <v>224</v>
      </c>
      <c r="C84" s="7">
        <v>19.634092326737683</v>
      </c>
      <c r="D84" t="s">
        <v>224</v>
      </c>
      <c r="E84" s="5">
        <v>1154.6884190000001</v>
      </c>
      <c r="F84" t="s">
        <v>44</v>
      </c>
      <c r="G84" s="3"/>
    </row>
    <row r="85" spans="1:7">
      <c r="A85" t="s">
        <v>225</v>
      </c>
      <c r="B85" t="s">
        <v>226</v>
      </c>
      <c r="C85" s="7">
        <v>32.644305739004643</v>
      </c>
      <c r="D85" t="s">
        <v>226</v>
      </c>
      <c r="E85" s="5">
        <v>2575.3208119999999</v>
      </c>
      <c r="F85" t="s">
        <v>44</v>
      </c>
      <c r="G85" s="3"/>
    </row>
    <row r="86" spans="1:7">
      <c r="A86" t="s">
        <v>227</v>
      </c>
      <c r="B86" t="s">
        <v>228</v>
      </c>
      <c r="C86" s="7">
        <v>61.298709624090883</v>
      </c>
      <c r="D86" t="s">
        <v>228</v>
      </c>
      <c r="E86" s="5">
        <v>16543.104909999998</v>
      </c>
      <c r="F86" t="s">
        <v>44</v>
      </c>
      <c r="G86" s="3"/>
    </row>
    <row r="87" spans="1:7">
      <c r="A87" t="s">
        <v>229</v>
      </c>
      <c r="B87" t="s">
        <v>230</v>
      </c>
      <c r="C87" s="7">
        <v>74.613727846371333</v>
      </c>
      <c r="D87" t="s">
        <v>230</v>
      </c>
      <c r="E87" s="5">
        <v>59053.564839999999</v>
      </c>
      <c r="F87" t="s">
        <v>44</v>
      </c>
      <c r="G87" s="3"/>
    </row>
    <row r="88" spans="1:7">
      <c r="A88" t="s">
        <v>231</v>
      </c>
      <c r="B88" t="s">
        <v>232</v>
      </c>
      <c r="C88" s="7">
        <v>73.304869471077836</v>
      </c>
      <c r="D88" t="s">
        <v>232</v>
      </c>
      <c r="E88" s="5">
        <v>2366.832891</v>
      </c>
      <c r="F88" t="s">
        <v>44</v>
      </c>
      <c r="G88" s="3"/>
    </row>
    <row r="89" spans="1:7">
      <c r="A89" t="s">
        <v>233</v>
      </c>
      <c r="B89" t="s">
        <v>234</v>
      </c>
      <c r="C89" s="7">
        <v>100</v>
      </c>
      <c r="D89" t="s">
        <v>234</v>
      </c>
      <c r="E89" s="5">
        <v>4367.9474179999997</v>
      </c>
      <c r="F89" t="s">
        <v>44</v>
      </c>
      <c r="G89" s="3"/>
    </row>
    <row r="90" spans="1:7">
      <c r="A90" t="s">
        <v>235</v>
      </c>
      <c r="B90" t="s">
        <v>236</v>
      </c>
      <c r="C90" s="7">
        <v>100</v>
      </c>
      <c r="D90" t="s">
        <v>237</v>
      </c>
      <c r="E90" s="5">
        <v>5834.4429689999997</v>
      </c>
      <c r="F90" t="s">
        <v>44</v>
      </c>
      <c r="G90" s="3"/>
    </row>
    <row r="91" spans="1:7">
      <c r="A91" t="s">
        <v>238</v>
      </c>
      <c r="B91" t="s">
        <v>239</v>
      </c>
      <c r="C91" s="7">
        <v>100</v>
      </c>
      <c r="D91" t="s">
        <v>239</v>
      </c>
      <c r="E91" s="5">
        <v>4180.2961949999999</v>
      </c>
      <c r="F91" t="s">
        <v>44</v>
      </c>
      <c r="G91" s="3"/>
    </row>
    <row r="92" spans="1:7">
      <c r="A92" t="s">
        <v>240</v>
      </c>
      <c r="B92" t="s">
        <v>241</v>
      </c>
      <c r="C92" s="7">
        <v>47.624737421971062</v>
      </c>
      <c r="D92" t="s">
        <v>241</v>
      </c>
      <c r="E92" s="5">
        <v>94474.987970000002</v>
      </c>
      <c r="F92" t="s">
        <v>44</v>
      </c>
      <c r="G92" s="3"/>
    </row>
    <row r="93" spans="1:7">
      <c r="A93" t="s">
        <v>242</v>
      </c>
      <c r="B93" t="s">
        <v>243</v>
      </c>
      <c r="C93" s="7">
        <v>99.586824766822673</v>
      </c>
      <c r="D93" t="s">
        <v>243</v>
      </c>
      <c r="E93" s="5">
        <v>41882.047469999998</v>
      </c>
      <c r="F93" t="s">
        <v>44</v>
      </c>
      <c r="G93" s="3"/>
    </row>
    <row r="94" spans="1:7">
      <c r="A94" t="s">
        <v>244</v>
      </c>
      <c r="B94" t="s">
        <v>245</v>
      </c>
      <c r="C94" s="7">
        <v>47.572926550387919</v>
      </c>
      <c r="D94" t="s">
        <v>245</v>
      </c>
      <c r="E94" s="5">
        <v>34508.123520000001</v>
      </c>
      <c r="F94" t="s">
        <v>44</v>
      </c>
      <c r="G94" s="3"/>
    </row>
    <row r="95" spans="1:7">
      <c r="A95" t="s">
        <v>246</v>
      </c>
      <c r="B95" t="s">
        <v>247</v>
      </c>
      <c r="C95" s="7">
        <v>31.008342024661061</v>
      </c>
      <c r="D95" t="s">
        <v>247</v>
      </c>
      <c r="E95" s="5">
        <v>6096.4327030000004</v>
      </c>
      <c r="F95" t="s">
        <v>44</v>
      </c>
      <c r="G95" s="3"/>
    </row>
    <row r="96" spans="1:7">
      <c r="A96" t="s">
        <v>248</v>
      </c>
      <c r="B96" t="s">
        <v>249</v>
      </c>
      <c r="C96" s="7">
        <v>48.353474018031861</v>
      </c>
      <c r="D96" t="s">
        <v>249</v>
      </c>
      <c r="E96" s="5">
        <v>37976.637179999998</v>
      </c>
      <c r="F96" t="s">
        <v>44</v>
      </c>
      <c r="G96" s="3"/>
    </row>
    <row r="97" spans="1:7">
      <c r="A97" t="s">
        <v>250</v>
      </c>
      <c r="B97" t="s">
        <v>251</v>
      </c>
      <c r="C97" s="7">
        <v>36.948258470429742</v>
      </c>
      <c r="D97" t="s">
        <v>251</v>
      </c>
      <c r="E97" s="5">
        <v>4441.0397489999996</v>
      </c>
      <c r="F97" t="s">
        <v>44</v>
      </c>
      <c r="G97" s="3"/>
    </row>
    <row r="98" spans="1:7">
      <c r="A98" t="s">
        <v>252</v>
      </c>
      <c r="B98" t="s">
        <v>253</v>
      </c>
      <c r="C98" s="7">
        <v>100</v>
      </c>
      <c r="D98" t="s">
        <v>253</v>
      </c>
      <c r="E98" s="5">
        <v>11872.78426</v>
      </c>
      <c r="F98" t="s">
        <v>44</v>
      </c>
      <c r="G98" s="3"/>
    </row>
    <row r="99" spans="1:7">
      <c r="A99" t="s">
        <v>254</v>
      </c>
      <c r="B99" t="s">
        <v>255</v>
      </c>
      <c r="C99" s="7">
        <v>41.573928498286165</v>
      </c>
      <c r="D99" t="s">
        <v>255</v>
      </c>
      <c r="E99" s="5">
        <v>1858.8765000000001</v>
      </c>
      <c r="F99" t="s">
        <v>44</v>
      </c>
      <c r="G99" s="3"/>
    </row>
    <row r="100" spans="1:7">
      <c r="A100" t="s">
        <v>256</v>
      </c>
      <c r="B100" t="s">
        <v>257</v>
      </c>
      <c r="C100" s="7">
        <v>37.589580097800336</v>
      </c>
      <c r="D100" t="s">
        <v>257</v>
      </c>
      <c r="E100" s="5">
        <v>2052.8129880000001</v>
      </c>
      <c r="F100" t="s">
        <v>44</v>
      </c>
      <c r="G100" s="3"/>
    </row>
    <row r="101" spans="1:7">
      <c r="A101" t="s">
        <v>258</v>
      </c>
      <c r="B101" t="s">
        <v>259</v>
      </c>
      <c r="C101" s="7">
        <v>100</v>
      </c>
      <c r="D101" t="s">
        <v>259</v>
      </c>
      <c r="E101" s="5">
        <v>24140.325799999999</v>
      </c>
      <c r="F101" t="s">
        <v>44</v>
      </c>
      <c r="G101" s="3"/>
    </row>
    <row r="102" spans="1:7">
      <c r="A102" t="s">
        <v>260</v>
      </c>
      <c r="B102" t="s">
        <v>261</v>
      </c>
      <c r="C102" s="7">
        <v>76.253197917404364</v>
      </c>
      <c r="D102" t="s">
        <v>262</v>
      </c>
      <c r="E102" s="5">
        <v>1423.586247</v>
      </c>
      <c r="F102" t="s">
        <v>44</v>
      </c>
      <c r="G102" s="3"/>
    </row>
    <row r="103" spans="1:7">
      <c r="A103" t="s">
        <v>263</v>
      </c>
      <c r="B103" t="s">
        <v>264</v>
      </c>
      <c r="C103" s="7">
        <v>100</v>
      </c>
      <c r="D103" t="s">
        <v>265</v>
      </c>
      <c r="E103" s="5">
        <v>2721.0781069999998</v>
      </c>
      <c r="F103" t="s">
        <v>44</v>
      </c>
      <c r="G103" s="3"/>
    </row>
    <row r="104" spans="1:7">
      <c r="A104" t="s">
        <v>266</v>
      </c>
      <c r="B104" t="s">
        <v>267</v>
      </c>
      <c r="C104" s="7">
        <v>48.963402610925968</v>
      </c>
      <c r="D104" t="s">
        <v>267</v>
      </c>
      <c r="E104" s="5">
        <v>16376.256520000001</v>
      </c>
      <c r="F104" t="s">
        <v>44</v>
      </c>
      <c r="G104" s="3"/>
    </row>
    <row r="105" spans="1:7">
      <c r="A105" t="s">
        <v>268</v>
      </c>
      <c r="B105" t="s">
        <v>269</v>
      </c>
      <c r="C105" s="7">
        <v>32.937449533694604</v>
      </c>
      <c r="D105" t="s">
        <v>269</v>
      </c>
      <c r="E105" s="5">
        <v>5391.2291420000001</v>
      </c>
      <c r="F105" t="s">
        <v>44</v>
      </c>
      <c r="G105" s="3"/>
    </row>
    <row r="106" spans="1:7">
      <c r="A106" t="s">
        <v>270</v>
      </c>
      <c r="B106" t="s">
        <v>271</v>
      </c>
      <c r="C106" s="7">
        <v>18.750735044663848</v>
      </c>
      <c r="D106" t="s">
        <v>271</v>
      </c>
      <c r="E106" s="5">
        <v>1012.593795</v>
      </c>
      <c r="F106" t="s">
        <v>44</v>
      </c>
      <c r="G106" s="3"/>
    </row>
    <row r="107" spans="1:7">
      <c r="A107" t="s">
        <v>272</v>
      </c>
      <c r="B107" t="s">
        <v>273</v>
      </c>
      <c r="C107" s="7">
        <v>35.027624640343333</v>
      </c>
      <c r="D107" t="s">
        <v>273</v>
      </c>
      <c r="E107" s="5">
        <v>665.10133759999997</v>
      </c>
      <c r="F107" t="s">
        <v>44</v>
      </c>
      <c r="G107" s="3"/>
    </row>
    <row r="108" spans="1:7">
      <c r="A108" t="s">
        <v>274</v>
      </c>
      <c r="B108" t="s">
        <v>275</v>
      </c>
      <c r="C108" s="7">
        <v>100</v>
      </c>
      <c r="D108" t="s">
        <v>275</v>
      </c>
      <c r="E108" s="5">
        <v>7696.080782</v>
      </c>
      <c r="F108" t="s">
        <v>44</v>
      </c>
      <c r="G108" s="3"/>
    </row>
    <row r="109" spans="1:7">
      <c r="A109" t="s">
        <v>276</v>
      </c>
      <c r="B109" t="s">
        <v>277</v>
      </c>
      <c r="C109" s="7">
        <v>46.602407792091206</v>
      </c>
      <c r="D109" t="s">
        <v>277</v>
      </c>
      <c r="E109" s="5">
        <v>19205.415229999999</v>
      </c>
      <c r="F109" t="s">
        <v>44</v>
      </c>
      <c r="G109" s="3"/>
    </row>
    <row r="110" spans="1:7">
      <c r="A110" t="s">
        <v>278</v>
      </c>
      <c r="B110" t="s">
        <v>279</v>
      </c>
      <c r="C110" s="7">
        <v>36.846597661258699</v>
      </c>
      <c r="D110" t="s">
        <v>279</v>
      </c>
      <c r="E110" s="5">
        <v>104147.1113</v>
      </c>
      <c r="F110" t="s">
        <v>44</v>
      </c>
      <c r="G110" s="3"/>
    </row>
    <row r="111" spans="1:7">
      <c r="A111" t="s">
        <v>280</v>
      </c>
      <c r="B111" t="s">
        <v>281</v>
      </c>
      <c r="C111" s="7">
        <v>33.686427332853732</v>
      </c>
      <c r="D111" t="s">
        <v>281</v>
      </c>
      <c r="E111" s="5">
        <v>453.95780969999998</v>
      </c>
      <c r="F111" t="s">
        <v>44</v>
      </c>
      <c r="G111" s="3"/>
    </row>
    <row r="112" spans="1:7">
      <c r="A112" t="s">
        <v>282</v>
      </c>
      <c r="B112" t="s">
        <v>283</v>
      </c>
      <c r="C112" s="7">
        <v>50.334075265725154</v>
      </c>
      <c r="D112" t="s">
        <v>283</v>
      </c>
      <c r="E112" s="5">
        <v>551.95152350000001</v>
      </c>
      <c r="F112" t="s">
        <v>44</v>
      </c>
      <c r="G112" s="3"/>
    </row>
    <row r="113" spans="1:7">
      <c r="A113" t="s">
        <v>284</v>
      </c>
      <c r="B113" t="s">
        <v>285</v>
      </c>
      <c r="C113" s="7">
        <v>100</v>
      </c>
      <c r="D113" t="s">
        <v>285</v>
      </c>
      <c r="E113" s="5">
        <v>11883.791279999999</v>
      </c>
      <c r="F113" t="s">
        <v>44</v>
      </c>
      <c r="G113" s="3"/>
    </row>
    <row r="114" spans="1:7">
      <c r="A114" t="s">
        <v>286</v>
      </c>
      <c r="B114" t="s">
        <v>287</v>
      </c>
      <c r="C114" s="7">
        <v>35.571468036756947</v>
      </c>
      <c r="D114" t="s">
        <v>287</v>
      </c>
      <c r="E114" s="5">
        <v>11798.791370000001</v>
      </c>
      <c r="F114" t="s">
        <v>44</v>
      </c>
      <c r="G114" s="3"/>
    </row>
    <row r="115" spans="1:7">
      <c r="A115" t="s">
        <v>288</v>
      </c>
      <c r="B115" t="s">
        <v>289</v>
      </c>
      <c r="C115" s="7">
        <v>25.376536723812137</v>
      </c>
      <c r="D115" t="s">
        <v>289</v>
      </c>
      <c r="E115" s="5">
        <v>910.30037630000004</v>
      </c>
      <c r="F115" t="s">
        <v>44</v>
      </c>
      <c r="G115" s="3"/>
    </row>
    <row r="116" spans="1:7">
      <c r="A116" t="s">
        <v>290</v>
      </c>
      <c r="B116" t="s">
        <v>291</v>
      </c>
      <c r="C116" s="7">
        <v>39.410903298159361</v>
      </c>
      <c r="D116" t="s">
        <v>291</v>
      </c>
      <c r="E116" s="5">
        <v>34501.789270000001</v>
      </c>
      <c r="F116" t="s">
        <v>44</v>
      </c>
      <c r="G116" s="3"/>
    </row>
    <row r="117" spans="1:7">
      <c r="A117" t="s">
        <v>292</v>
      </c>
      <c r="B117" t="s">
        <v>293</v>
      </c>
      <c r="C117" s="7">
        <v>29.537034413561692</v>
      </c>
      <c r="D117" t="s">
        <v>293</v>
      </c>
      <c r="E117" s="5">
        <v>1692.8416609999999</v>
      </c>
      <c r="F117" t="s">
        <v>44</v>
      </c>
      <c r="G117" s="3"/>
    </row>
    <row r="118" spans="1:7">
      <c r="A118" t="s">
        <v>294</v>
      </c>
      <c r="B118" t="s">
        <v>295</v>
      </c>
      <c r="C118" s="7">
        <v>39.484828758828137</v>
      </c>
      <c r="D118" t="s">
        <v>295</v>
      </c>
      <c r="E118" s="5">
        <v>11918.80452</v>
      </c>
      <c r="F118" t="s">
        <v>44</v>
      </c>
      <c r="G118" s="3"/>
    </row>
    <row r="119" spans="1:7">
      <c r="A119" t="s">
        <v>296</v>
      </c>
      <c r="B119" t="s">
        <v>297</v>
      </c>
      <c r="C119" s="7">
        <v>80.442352331077302</v>
      </c>
      <c r="D119" t="s">
        <v>297</v>
      </c>
      <c r="E119" s="5">
        <v>10284.03369</v>
      </c>
      <c r="F119" t="s">
        <v>44</v>
      </c>
      <c r="G119" s="3"/>
    </row>
    <row r="120" spans="1:7">
      <c r="A120" t="s">
        <v>298</v>
      </c>
      <c r="B120" t="s">
        <v>299</v>
      </c>
      <c r="C120" s="7">
        <v>100</v>
      </c>
      <c r="D120" t="s">
        <v>299</v>
      </c>
      <c r="E120" s="5">
        <v>4626.796096</v>
      </c>
      <c r="F120" t="s">
        <v>44</v>
      </c>
      <c r="G120" s="3"/>
    </row>
    <row r="121" spans="1:7">
      <c r="A121" t="s">
        <v>300</v>
      </c>
      <c r="B121" t="s">
        <v>301</v>
      </c>
      <c r="C121" s="7">
        <v>73.783282542362329</v>
      </c>
      <c r="D121" t="s">
        <v>301</v>
      </c>
      <c r="E121" s="5">
        <v>8540.0042780000003</v>
      </c>
      <c r="F121" t="s">
        <v>44</v>
      </c>
      <c r="G121" s="3"/>
    </row>
    <row r="122" spans="1:7">
      <c r="A122" t="s">
        <v>302</v>
      </c>
      <c r="B122" t="s">
        <v>303</v>
      </c>
      <c r="C122" s="7">
        <v>38.177987871169037</v>
      </c>
      <c r="D122" t="s">
        <v>303</v>
      </c>
      <c r="E122" s="5">
        <v>3516.1540530000002</v>
      </c>
      <c r="F122" t="s">
        <v>44</v>
      </c>
      <c r="G122" s="3"/>
    </row>
    <row r="123" spans="1:7">
      <c r="A123" t="s">
        <v>304</v>
      </c>
      <c r="B123" t="s">
        <v>305</v>
      </c>
      <c r="C123" s="7">
        <v>100</v>
      </c>
      <c r="D123" t="s">
        <v>305</v>
      </c>
      <c r="E123" s="5">
        <v>605.76348140000005</v>
      </c>
      <c r="F123" t="s">
        <v>44</v>
      </c>
      <c r="G123" s="3"/>
    </row>
    <row r="124" spans="1:7">
      <c r="A124" t="s">
        <v>306</v>
      </c>
      <c r="B124" t="s">
        <v>307</v>
      </c>
      <c r="C124" s="7">
        <v>100</v>
      </c>
      <c r="D124" t="s">
        <v>307</v>
      </c>
      <c r="E124" s="5">
        <v>1158.4792809999999</v>
      </c>
      <c r="F124" t="s">
        <v>44</v>
      </c>
      <c r="G124" s="3"/>
    </row>
    <row r="125" spans="1:7">
      <c r="A125" t="s">
        <v>308</v>
      </c>
      <c r="B125" t="s">
        <v>309</v>
      </c>
      <c r="C125" s="7">
        <v>44.806905035898794</v>
      </c>
      <c r="D125" t="s">
        <v>309</v>
      </c>
      <c r="E125" s="5">
        <v>4032.401507</v>
      </c>
      <c r="F125" t="s">
        <v>44</v>
      </c>
      <c r="G125" s="3"/>
    </row>
    <row r="126" spans="1:7">
      <c r="A126" t="s">
        <v>310</v>
      </c>
      <c r="B126" t="s">
        <v>311</v>
      </c>
      <c r="C126" s="7">
        <v>31.80987683394827</v>
      </c>
      <c r="D126" t="s">
        <v>312</v>
      </c>
      <c r="E126" s="5">
        <v>8218.724768</v>
      </c>
      <c r="F126" t="s">
        <v>44</v>
      </c>
      <c r="G126" s="3"/>
    </row>
    <row r="127" spans="1:7">
      <c r="A127" t="s">
        <v>313</v>
      </c>
      <c r="B127" t="s">
        <v>314</v>
      </c>
      <c r="C127" s="7">
        <v>34.430433461464439</v>
      </c>
      <c r="D127" t="s">
        <v>314</v>
      </c>
      <c r="E127" s="5">
        <v>1179.9549930000001</v>
      </c>
      <c r="F127" t="s">
        <v>44</v>
      </c>
      <c r="G127" s="3"/>
    </row>
    <row r="128" spans="1:7">
      <c r="A128" t="s">
        <v>315</v>
      </c>
      <c r="B128" t="s">
        <v>316</v>
      </c>
      <c r="C128" s="7">
        <v>52.900836224594983</v>
      </c>
      <c r="D128" t="s">
        <v>316</v>
      </c>
      <c r="E128" s="5">
        <v>51174.899729999997</v>
      </c>
      <c r="F128" t="s">
        <v>44</v>
      </c>
      <c r="G128" s="3"/>
    </row>
    <row r="129" spans="1:7" ht="15">
      <c r="A129" t="s">
        <v>317</v>
      </c>
      <c r="B129" t="s">
        <v>318</v>
      </c>
      <c r="C129" s="7">
        <v>36.40313564131862</v>
      </c>
      <c r="E129" s="5"/>
      <c r="F129" t="s">
        <v>51</v>
      </c>
      <c r="G129" s="3" t="s">
        <v>52</v>
      </c>
    </row>
    <row r="130" spans="1:7">
      <c r="A130" t="s">
        <v>319</v>
      </c>
      <c r="B130" t="s">
        <v>320</v>
      </c>
      <c r="C130" s="7">
        <v>70.67769960376215</v>
      </c>
      <c r="D130" t="s">
        <v>320</v>
      </c>
      <c r="E130" s="5">
        <v>41415.467060000003</v>
      </c>
      <c r="F130" t="s">
        <v>44</v>
      </c>
      <c r="G130" s="3"/>
    </row>
    <row r="131" spans="1:7">
      <c r="A131" t="s">
        <v>321</v>
      </c>
      <c r="B131" t="s">
        <v>322</v>
      </c>
      <c r="C131" s="7">
        <v>37.08566826751786</v>
      </c>
      <c r="D131" t="s">
        <v>322</v>
      </c>
      <c r="E131" s="5">
        <v>2290.3199199999999</v>
      </c>
      <c r="F131" t="s">
        <v>44</v>
      </c>
      <c r="G131" s="3"/>
    </row>
    <row r="132" spans="1:7">
      <c r="A132" t="s">
        <v>323</v>
      </c>
      <c r="B132" t="s">
        <v>324</v>
      </c>
      <c r="C132" s="7">
        <v>100</v>
      </c>
      <c r="D132" t="s">
        <v>324</v>
      </c>
      <c r="E132" s="5">
        <v>589.08564330000002</v>
      </c>
      <c r="F132" t="s">
        <v>44</v>
      </c>
      <c r="G132" s="3"/>
    </row>
    <row r="133" spans="1:7">
      <c r="A133" t="s">
        <v>325</v>
      </c>
      <c r="B133" t="s">
        <v>326</v>
      </c>
      <c r="C133" s="7">
        <v>100</v>
      </c>
      <c r="D133" t="s">
        <v>326</v>
      </c>
      <c r="E133" s="5">
        <v>2324.5970240000001</v>
      </c>
      <c r="F133" t="s">
        <v>44</v>
      </c>
      <c r="G133" s="3"/>
    </row>
    <row r="134" spans="1:7">
      <c r="A134" t="s">
        <v>327</v>
      </c>
      <c r="B134" t="s">
        <v>328</v>
      </c>
      <c r="C134" s="7">
        <v>51.495742422296722</v>
      </c>
      <c r="D134" t="s">
        <v>328</v>
      </c>
      <c r="E134" s="5">
        <v>6628.8468659999999</v>
      </c>
      <c r="F134" t="s">
        <v>44</v>
      </c>
      <c r="G134" s="3"/>
    </row>
    <row r="135" spans="1:7">
      <c r="A135" t="s">
        <v>329</v>
      </c>
      <c r="B135" t="s">
        <v>330</v>
      </c>
      <c r="C135" s="7">
        <v>100</v>
      </c>
      <c r="D135" t="s">
        <v>330</v>
      </c>
      <c r="E135" s="5">
        <v>83487.133230000007</v>
      </c>
      <c r="F135" t="s">
        <v>44</v>
      </c>
      <c r="G135" s="3"/>
    </row>
    <row r="136" spans="1:7">
      <c r="A136" t="s">
        <v>331</v>
      </c>
      <c r="B136" t="s">
        <v>332</v>
      </c>
      <c r="C136" s="7">
        <v>100</v>
      </c>
      <c r="D136" t="s">
        <v>332</v>
      </c>
      <c r="E136" s="5">
        <v>17347.291130000001</v>
      </c>
      <c r="F136" t="s">
        <v>44</v>
      </c>
      <c r="G136" s="3"/>
    </row>
    <row r="137" spans="1:7">
      <c r="A137" t="s">
        <v>333</v>
      </c>
      <c r="B137" t="s">
        <v>334</v>
      </c>
      <c r="C137" s="7">
        <v>69.851487894798964</v>
      </c>
      <c r="D137" t="s">
        <v>334</v>
      </c>
      <c r="E137" s="5">
        <v>1635.0873120000001</v>
      </c>
      <c r="F137" t="s">
        <v>44</v>
      </c>
      <c r="G137" s="3"/>
    </row>
    <row r="138" spans="1:7">
      <c r="A138" t="s">
        <v>335</v>
      </c>
      <c r="B138" t="s">
        <v>336</v>
      </c>
      <c r="C138" s="7">
        <v>39.80709613701643</v>
      </c>
      <c r="D138" t="s">
        <v>336</v>
      </c>
      <c r="E138" s="5">
        <v>17122.71688</v>
      </c>
      <c r="F138" t="s">
        <v>44</v>
      </c>
      <c r="G138" s="3"/>
    </row>
    <row r="139" spans="1:7">
      <c r="A139" t="s">
        <v>337</v>
      </c>
      <c r="B139" t="s">
        <v>338</v>
      </c>
      <c r="C139" s="7">
        <v>100</v>
      </c>
      <c r="D139" t="s">
        <v>338</v>
      </c>
      <c r="E139" s="5">
        <v>2566.9106710000001</v>
      </c>
      <c r="F139" t="s">
        <v>44</v>
      </c>
      <c r="G139" s="3"/>
    </row>
    <row r="140" spans="1:7">
      <c r="A140" t="s">
        <v>339</v>
      </c>
      <c r="B140" t="s">
        <v>340</v>
      </c>
      <c r="C140" s="7">
        <v>100</v>
      </c>
      <c r="D140" t="s">
        <v>340</v>
      </c>
      <c r="E140" s="5">
        <v>6670.6995660000002</v>
      </c>
      <c r="F140" t="s">
        <v>44</v>
      </c>
      <c r="G140" s="3"/>
    </row>
    <row r="141" spans="1:7">
      <c r="A141" t="s">
        <v>341</v>
      </c>
      <c r="B141" t="s">
        <v>342</v>
      </c>
      <c r="C141" s="7">
        <v>95.698865034339747</v>
      </c>
      <c r="D141" t="s">
        <v>342</v>
      </c>
      <c r="E141" s="5">
        <v>6732.2777379999998</v>
      </c>
      <c r="F141" t="s">
        <v>44</v>
      </c>
      <c r="G141" s="3"/>
    </row>
    <row r="142" spans="1:7">
      <c r="A142" t="s">
        <v>343</v>
      </c>
      <c r="B142" t="s">
        <v>344</v>
      </c>
      <c r="C142" s="7">
        <v>49.884799144197331</v>
      </c>
      <c r="D142" t="s">
        <v>344</v>
      </c>
      <c r="E142" s="5">
        <v>3926.1490090000002</v>
      </c>
      <c r="F142" t="s">
        <v>44</v>
      </c>
      <c r="G142" s="3"/>
    </row>
    <row r="143" spans="1:7">
      <c r="A143" t="s">
        <v>345</v>
      </c>
      <c r="B143" t="s">
        <v>346</v>
      </c>
      <c r="C143" s="7">
        <v>67.408475396492733</v>
      </c>
      <c r="D143" t="s">
        <v>346</v>
      </c>
      <c r="E143" s="5">
        <v>18000.50346</v>
      </c>
      <c r="F143" t="s">
        <v>44</v>
      </c>
      <c r="G143" s="3"/>
    </row>
    <row r="144" spans="1:7">
      <c r="A144" t="s">
        <v>347</v>
      </c>
      <c r="B144" t="s">
        <v>348</v>
      </c>
      <c r="C144" s="7">
        <v>50.736641399071466</v>
      </c>
      <c r="D144" t="s">
        <v>348</v>
      </c>
      <c r="E144" s="5">
        <v>22663.993129999999</v>
      </c>
      <c r="F144" t="s">
        <v>44</v>
      </c>
      <c r="G144" s="3"/>
    </row>
    <row r="145" spans="1:7">
      <c r="A145" t="s">
        <v>349</v>
      </c>
      <c r="B145" t="s">
        <v>350</v>
      </c>
      <c r="C145" s="7">
        <v>100</v>
      </c>
      <c r="D145" t="s">
        <v>350</v>
      </c>
      <c r="E145" s="5">
        <v>62395.311329999997</v>
      </c>
      <c r="F145" t="s">
        <v>44</v>
      </c>
      <c r="G145" s="3"/>
    </row>
    <row r="146" spans="1:7">
      <c r="A146" t="s">
        <v>351</v>
      </c>
      <c r="B146" t="s">
        <v>352</v>
      </c>
      <c r="C146" s="7">
        <v>50.026525019786639</v>
      </c>
      <c r="D146" t="s">
        <v>353</v>
      </c>
      <c r="E146" s="5">
        <v>37048.426399999997</v>
      </c>
      <c r="F146" t="s">
        <v>44</v>
      </c>
      <c r="G146" s="3"/>
    </row>
    <row r="147" spans="1:7">
      <c r="A147" t="s">
        <v>354</v>
      </c>
      <c r="B147" t="s">
        <v>355</v>
      </c>
      <c r="C147" s="7">
        <v>31.423659422955751</v>
      </c>
      <c r="D147" t="s">
        <v>356</v>
      </c>
      <c r="E147" s="5">
        <v>3855.5694039999998</v>
      </c>
      <c r="F147" t="s">
        <v>44</v>
      </c>
      <c r="G147" s="3"/>
    </row>
    <row r="148" spans="1:7">
      <c r="A148" t="s">
        <v>357</v>
      </c>
      <c r="B148" t="s">
        <v>358</v>
      </c>
      <c r="C148" s="7">
        <v>80.206667879482779</v>
      </c>
      <c r="D148" t="s">
        <v>358</v>
      </c>
      <c r="E148" s="5">
        <v>12459.91121</v>
      </c>
      <c r="F148" t="s">
        <v>44</v>
      </c>
      <c r="G148" s="3"/>
    </row>
    <row r="149" spans="1:7">
      <c r="A149" t="s">
        <v>359</v>
      </c>
      <c r="B149" t="s">
        <v>360</v>
      </c>
      <c r="C149" s="7">
        <v>100</v>
      </c>
      <c r="D149" t="s">
        <v>360</v>
      </c>
      <c r="E149" s="5">
        <v>11092.63379</v>
      </c>
      <c r="F149" t="s">
        <v>44</v>
      </c>
      <c r="G149" s="3"/>
    </row>
    <row r="150" spans="1:7">
      <c r="A150" t="s">
        <v>361</v>
      </c>
      <c r="B150" t="s">
        <v>362</v>
      </c>
      <c r="C150" s="7">
        <v>44.950600838552276</v>
      </c>
      <c r="D150" t="s">
        <v>362</v>
      </c>
      <c r="E150" s="5">
        <v>1043.159615</v>
      </c>
      <c r="F150" t="s">
        <v>44</v>
      </c>
      <c r="G150" s="3"/>
    </row>
    <row r="151" spans="1:7">
      <c r="A151" t="s">
        <v>363</v>
      </c>
      <c r="B151" t="s">
        <v>364</v>
      </c>
      <c r="C151" s="7">
        <v>36.431146854682062</v>
      </c>
      <c r="D151" t="s">
        <v>365</v>
      </c>
      <c r="E151" s="5">
        <v>21692.24064</v>
      </c>
      <c r="F151" t="s">
        <v>44</v>
      </c>
      <c r="G151" s="3"/>
    </row>
    <row r="152" spans="1:7">
      <c r="A152" t="s">
        <v>366</v>
      </c>
      <c r="B152" t="s">
        <v>367</v>
      </c>
      <c r="C152" s="7">
        <v>25.252498689391867</v>
      </c>
      <c r="D152" t="s">
        <v>368</v>
      </c>
      <c r="E152" s="5">
        <v>12190.79709</v>
      </c>
      <c r="F152" t="s">
        <v>44</v>
      </c>
      <c r="G152" s="3"/>
    </row>
    <row r="153" spans="1:7">
      <c r="A153" t="s">
        <v>369</v>
      </c>
      <c r="B153" t="s">
        <v>370</v>
      </c>
      <c r="C153" s="7">
        <v>36.200673648996585</v>
      </c>
      <c r="D153" t="s">
        <v>371</v>
      </c>
      <c r="E153" s="5">
        <v>9485.1877120000008</v>
      </c>
      <c r="F153" t="s">
        <v>44</v>
      </c>
      <c r="G153" s="3"/>
    </row>
    <row r="154" spans="1:7">
      <c r="A154" t="s">
        <v>372</v>
      </c>
      <c r="B154" t="s">
        <v>373</v>
      </c>
      <c r="C154" s="7">
        <v>32.303557135260739</v>
      </c>
      <c r="D154" t="s">
        <v>373</v>
      </c>
      <c r="E154" s="5">
        <v>4880.5441799999999</v>
      </c>
      <c r="F154" t="s">
        <v>44</v>
      </c>
      <c r="G154" s="3"/>
    </row>
    <row r="155" spans="1:7">
      <c r="A155" t="s">
        <v>374</v>
      </c>
      <c r="B155" t="s">
        <v>375</v>
      </c>
      <c r="C155" s="7">
        <v>23.058923327109994</v>
      </c>
      <c r="D155" t="s">
        <v>375</v>
      </c>
      <c r="E155" s="5">
        <v>1373.2708210000001</v>
      </c>
      <c r="F155" t="s">
        <v>44</v>
      </c>
      <c r="G155" s="3"/>
    </row>
    <row r="156" spans="1:7">
      <c r="A156" t="s">
        <v>376</v>
      </c>
      <c r="B156" t="s">
        <v>377</v>
      </c>
      <c r="C156" s="7">
        <v>100</v>
      </c>
      <c r="D156" t="s">
        <v>377</v>
      </c>
      <c r="E156" s="5">
        <v>25123.012210000001</v>
      </c>
      <c r="F156" t="s">
        <v>44</v>
      </c>
      <c r="G156" s="3"/>
    </row>
    <row r="157" spans="1:7">
      <c r="A157" t="s">
        <v>378</v>
      </c>
      <c r="B157" t="s">
        <v>379</v>
      </c>
      <c r="C157" s="7">
        <v>38.568933383534961</v>
      </c>
      <c r="D157" t="s">
        <v>379</v>
      </c>
      <c r="E157" s="5">
        <v>1517.6183880000001</v>
      </c>
      <c r="F157" t="s">
        <v>44</v>
      </c>
      <c r="G157" s="3"/>
    </row>
    <row r="158" spans="1:7">
      <c r="A158" t="s">
        <v>380</v>
      </c>
      <c r="B158" t="s">
        <v>381</v>
      </c>
      <c r="C158" s="7">
        <v>68.456999745431972</v>
      </c>
      <c r="D158" t="s">
        <v>381</v>
      </c>
      <c r="E158" s="5">
        <v>8580.261058</v>
      </c>
      <c r="F158" t="s">
        <v>44</v>
      </c>
      <c r="G158" s="3"/>
    </row>
    <row r="159" spans="1:7">
      <c r="A159" t="s">
        <v>382</v>
      </c>
      <c r="B159" t="s">
        <v>383</v>
      </c>
      <c r="C159" s="7">
        <v>26.722658799334155</v>
      </c>
      <c r="D159" t="s">
        <v>383</v>
      </c>
      <c r="E159" s="5">
        <v>16612.637490000001</v>
      </c>
      <c r="F159" t="s">
        <v>44</v>
      </c>
      <c r="G159" s="3"/>
    </row>
    <row r="160" spans="1:7">
      <c r="A160" t="s">
        <v>384</v>
      </c>
      <c r="B160" t="s">
        <v>385</v>
      </c>
      <c r="C160" s="7">
        <v>34.01281509763627</v>
      </c>
      <c r="D160" t="s">
        <v>385</v>
      </c>
      <c r="E160" s="5">
        <v>1137.290056</v>
      </c>
      <c r="F160" t="s">
        <v>44</v>
      </c>
      <c r="G160" s="3"/>
    </row>
    <row r="161" spans="1:7">
      <c r="A161" t="s">
        <v>386</v>
      </c>
      <c r="B161" t="s">
        <v>387</v>
      </c>
      <c r="C161" s="7">
        <v>42.292658252378587</v>
      </c>
      <c r="D161" t="s">
        <v>387</v>
      </c>
      <c r="E161" s="5">
        <v>68129.696039999995</v>
      </c>
      <c r="F161" t="s">
        <v>44</v>
      </c>
      <c r="G161" s="3"/>
    </row>
    <row r="162" spans="1:7">
      <c r="A162" t="s">
        <v>388</v>
      </c>
      <c r="B162" t="s">
        <v>389</v>
      </c>
      <c r="C162" s="7">
        <v>60.510612587423275</v>
      </c>
      <c r="D162" t="s">
        <v>390</v>
      </c>
      <c r="E162" s="5">
        <v>19776.175810000001</v>
      </c>
      <c r="F162" t="s">
        <v>44</v>
      </c>
      <c r="G162" s="3"/>
    </row>
    <row r="163" spans="1:7">
      <c r="A163" t="s">
        <v>391</v>
      </c>
      <c r="B163" t="s">
        <v>392</v>
      </c>
      <c r="C163" s="7">
        <v>67.049511684791185</v>
      </c>
      <c r="D163" t="s">
        <v>392</v>
      </c>
      <c r="E163" s="5">
        <v>26134.627199999999</v>
      </c>
      <c r="F163" t="s">
        <v>44</v>
      </c>
      <c r="G163" s="3"/>
    </row>
    <row r="164" spans="1:7">
      <c r="A164" t="s">
        <v>393</v>
      </c>
      <c r="B164" t="s">
        <v>394</v>
      </c>
      <c r="C164" s="7">
        <v>28.825868454891424</v>
      </c>
      <c r="D164" t="s">
        <v>395</v>
      </c>
      <c r="E164" s="5">
        <v>1806.383673</v>
      </c>
      <c r="F164" t="s">
        <v>44</v>
      </c>
      <c r="G164" s="3"/>
    </row>
    <row r="165" spans="1:7">
      <c r="A165" t="s">
        <v>396</v>
      </c>
      <c r="B165" t="s">
        <v>397</v>
      </c>
      <c r="C165" s="7">
        <v>24.72412380114265</v>
      </c>
      <c r="D165" t="s">
        <v>398</v>
      </c>
      <c r="E165" s="5">
        <v>467.26991020000003</v>
      </c>
      <c r="F165" t="s">
        <v>44</v>
      </c>
      <c r="G165" s="3"/>
    </row>
    <row r="166" spans="1:7">
      <c r="A166" t="s">
        <v>399</v>
      </c>
      <c r="B166" t="s">
        <v>400</v>
      </c>
      <c r="C166" s="7">
        <v>100</v>
      </c>
      <c r="D166" t="s">
        <v>400</v>
      </c>
      <c r="E166" s="5">
        <v>5715.4753149999997</v>
      </c>
      <c r="F166" t="s">
        <v>44</v>
      </c>
      <c r="G166" s="3"/>
    </row>
    <row r="167" spans="1:7" ht="15">
      <c r="A167" t="s">
        <v>401</v>
      </c>
      <c r="B167" t="s">
        <v>402</v>
      </c>
      <c r="C167" s="7">
        <v>100</v>
      </c>
      <c r="E167" s="5"/>
      <c r="F167" t="s">
        <v>51</v>
      </c>
      <c r="G167" s="3" t="s">
        <v>52</v>
      </c>
    </row>
    <row r="168" spans="1:7">
      <c r="A168" t="s">
        <v>403</v>
      </c>
      <c r="B168" t="s">
        <v>404</v>
      </c>
      <c r="C168" s="7">
        <v>51.585257957805034</v>
      </c>
      <c r="D168" t="s">
        <v>404</v>
      </c>
      <c r="E168" s="5">
        <v>29245.219249999998</v>
      </c>
      <c r="F168" t="s">
        <v>44</v>
      </c>
      <c r="G168" s="3"/>
    </row>
    <row r="169" spans="1:7">
      <c r="A169" t="s">
        <v>405</v>
      </c>
      <c r="B169" t="s">
        <v>406</v>
      </c>
      <c r="C169" s="7">
        <v>44.776384019955074</v>
      </c>
      <c r="D169" t="s">
        <v>406</v>
      </c>
      <c r="E169" s="5">
        <v>4198.7451369999999</v>
      </c>
      <c r="F169" t="s">
        <v>44</v>
      </c>
      <c r="G169" s="3"/>
    </row>
    <row r="170" spans="1:7">
      <c r="A170" t="s">
        <v>407</v>
      </c>
      <c r="B170" t="s">
        <v>408</v>
      </c>
      <c r="C170" s="7">
        <v>25.841649501298324</v>
      </c>
      <c r="D170" t="s">
        <v>409</v>
      </c>
      <c r="E170" s="5">
        <v>2258.206987</v>
      </c>
      <c r="F170" t="s">
        <v>44</v>
      </c>
      <c r="G170" s="3"/>
    </row>
    <row r="171" spans="1:7">
      <c r="A171" t="s">
        <v>410</v>
      </c>
      <c r="B171" t="s">
        <v>411</v>
      </c>
      <c r="C171" s="7">
        <v>60.474535266596561</v>
      </c>
      <c r="D171" t="s">
        <v>411</v>
      </c>
      <c r="E171" s="5">
        <v>578.38916019999999</v>
      </c>
      <c r="F171" t="s">
        <v>44</v>
      </c>
      <c r="G171" s="3"/>
    </row>
    <row r="172" spans="1:7">
      <c r="A172" t="s">
        <v>412</v>
      </c>
      <c r="B172" t="s">
        <v>413</v>
      </c>
      <c r="C172" s="7">
        <v>99.826633774771196</v>
      </c>
      <c r="D172" t="s">
        <v>413</v>
      </c>
      <c r="E172" s="5">
        <v>7246.2576820000004</v>
      </c>
      <c r="F172" t="s">
        <v>44</v>
      </c>
      <c r="G172" s="3"/>
    </row>
    <row r="173" spans="1:7">
      <c r="A173" t="s">
        <v>414</v>
      </c>
      <c r="B173" t="s">
        <v>415</v>
      </c>
      <c r="C173" s="7">
        <v>79.468760117547916</v>
      </c>
      <c r="D173" t="s">
        <v>415</v>
      </c>
      <c r="E173" s="5">
        <v>54316.261930000001</v>
      </c>
      <c r="F173" t="s">
        <v>44</v>
      </c>
      <c r="G173" s="3"/>
    </row>
    <row r="174" spans="1:7">
      <c r="A174" t="s">
        <v>416</v>
      </c>
      <c r="B174" t="s">
        <v>417</v>
      </c>
      <c r="C174" s="7">
        <v>67.947704206878612</v>
      </c>
      <c r="D174" t="s">
        <v>417</v>
      </c>
      <c r="E174" s="5">
        <v>93018.376869999993</v>
      </c>
      <c r="F174" t="s">
        <v>44</v>
      </c>
      <c r="G174" s="3"/>
    </row>
    <row r="175" spans="1:7" ht="15">
      <c r="A175" t="s">
        <v>418</v>
      </c>
      <c r="B175" t="s">
        <v>419</v>
      </c>
      <c r="C175" s="7">
        <v>73.034173660210982</v>
      </c>
      <c r="E175" s="5"/>
      <c r="F175" t="s">
        <v>51</v>
      </c>
      <c r="G175" s="3" t="s">
        <v>52</v>
      </c>
    </row>
    <row r="176" spans="1:7">
      <c r="A176" t="s">
        <v>420</v>
      </c>
      <c r="B176" t="s">
        <v>421</v>
      </c>
      <c r="C176" s="7">
        <v>79.433424299587017</v>
      </c>
      <c r="D176" t="s">
        <v>421</v>
      </c>
      <c r="E176" s="5">
        <v>1496.3381340000001</v>
      </c>
      <c r="F176" t="s">
        <v>44</v>
      </c>
      <c r="G176" s="3"/>
    </row>
    <row r="177" spans="1:7">
      <c r="A177" t="s">
        <v>422</v>
      </c>
      <c r="B177" t="s">
        <v>423</v>
      </c>
      <c r="C177" s="7">
        <v>59.579051378505987</v>
      </c>
      <c r="D177" t="s">
        <v>423</v>
      </c>
      <c r="E177" s="5">
        <v>6616.5853930000003</v>
      </c>
      <c r="F177" t="s">
        <v>44</v>
      </c>
      <c r="G177" s="3"/>
    </row>
    <row r="178" spans="1:7">
      <c r="A178" t="s">
        <v>424</v>
      </c>
      <c r="B178" t="s">
        <v>425</v>
      </c>
      <c r="C178" s="7">
        <v>61.297049161977199</v>
      </c>
      <c r="D178" t="s">
        <v>425</v>
      </c>
      <c r="E178" s="5">
        <v>1149.2188900000001</v>
      </c>
      <c r="F178" t="s">
        <v>44</v>
      </c>
      <c r="G178" s="3"/>
    </row>
    <row r="179" spans="1:7">
      <c r="A179" t="s">
        <v>426</v>
      </c>
      <c r="B179" t="s">
        <v>427</v>
      </c>
      <c r="C179" s="7">
        <v>31.385375991085741</v>
      </c>
      <c r="D179" t="s">
        <v>427</v>
      </c>
      <c r="E179" s="5">
        <v>1053.816538</v>
      </c>
      <c r="F179" t="s">
        <v>44</v>
      </c>
      <c r="G179" s="3"/>
    </row>
    <row r="180" spans="1:7">
      <c r="A180" t="s">
        <v>428</v>
      </c>
      <c r="B180" t="s">
        <v>429</v>
      </c>
      <c r="C180" s="7">
        <v>27.985269821263447</v>
      </c>
      <c r="D180" t="s">
        <v>429</v>
      </c>
      <c r="E180" s="5">
        <v>4779.9239989999996</v>
      </c>
      <c r="F180" t="s">
        <v>44</v>
      </c>
      <c r="G180" s="3"/>
    </row>
    <row r="181" spans="1:7">
      <c r="A181" t="s">
        <v>430</v>
      </c>
      <c r="B181" t="s">
        <v>431</v>
      </c>
      <c r="C181" s="7">
        <v>100</v>
      </c>
      <c r="D181" t="s">
        <v>431</v>
      </c>
      <c r="E181" s="5">
        <v>16312.48496</v>
      </c>
      <c r="F181" t="s">
        <v>44</v>
      </c>
      <c r="G181" s="3"/>
    </row>
    <row r="182" spans="1:7">
      <c r="A182" t="s">
        <v>432</v>
      </c>
      <c r="B182" t="s">
        <v>433</v>
      </c>
      <c r="C182" s="7">
        <v>49.097910208063425</v>
      </c>
      <c r="D182" t="s">
        <v>433</v>
      </c>
      <c r="E182" s="5">
        <v>4006.2058830000001</v>
      </c>
      <c r="F182" t="s">
        <v>44</v>
      </c>
      <c r="G182" s="3"/>
    </row>
    <row r="183" spans="1:7">
      <c r="A183" t="s">
        <v>434</v>
      </c>
      <c r="B183" t="s">
        <v>435</v>
      </c>
      <c r="C183" s="7">
        <v>100</v>
      </c>
      <c r="D183" t="s">
        <v>435</v>
      </c>
      <c r="E183" s="5">
        <v>8229.672611</v>
      </c>
      <c r="F183" t="s">
        <v>44</v>
      </c>
      <c r="G183" s="3"/>
    </row>
    <row r="184" spans="1:7">
      <c r="A184" t="s">
        <v>436</v>
      </c>
      <c r="B184" t="s">
        <v>437</v>
      </c>
      <c r="C184" s="7">
        <v>47.76274768804015</v>
      </c>
      <c r="D184" t="s">
        <v>438</v>
      </c>
      <c r="E184" s="5">
        <v>15395.027889999999</v>
      </c>
      <c r="F184" t="s">
        <v>44</v>
      </c>
      <c r="G184" s="3"/>
    </row>
    <row r="185" spans="1:7">
      <c r="A185" t="s">
        <v>439</v>
      </c>
      <c r="B185" t="s">
        <v>439</v>
      </c>
      <c r="C185" s="7">
        <v>100</v>
      </c>
      <c r="D185" t="s">
        <v>440</v>
      </c>
      <c r="E185" s="5">
        <v>66856.513170000006</v>
      </c>
      <c r="F185" t="s">
        <v>44</v>
      </c>
      <c r="G185" s="3"/>
    </row>
    <row r="186" spans="1:7">
      <c r="A186" t="s">
        <v>441</v>
      </c>
      <c r="B186" t="s">
        <v>442</v>
      </c>
      <c r="C186" s="7">
        <v>46.177298356740458</v>
      </c>
      <c r="D186" t="s">
        <v>442</v>
      </c>
      <c r="E186" s="5">
        <v>986.09014539999998</v>
      </c>
      <c r="F186" t="s">
        <v>44</v>
      </c>
      <c r="G186" s="3"/>
    </row>
    <row r="187" spans="1:7">
      <c r="A187" t="s">
        <v>443</v>
      </c>
      <c r="B187" t="s">
        <v>444</v>
      </c>
      <c r="C187" s="7">
        <v>82.910622977571066</v>
      </c>
      <c r="D187" t="s">
        <v>444</v>
      </c>
      <c r="E187" s="5">
        <v>2226.0581050000001</v>
      </c>
      <c r="F187" t="s">
        <v>44</v>
      </c>
      <c r="G187" s="3"/>
    </row>
    <row r="188" spans="1:7">
      <c r="A188" t="s">
        <v>445</v>
      </c>
      <c r="B188" t="s">
        <v>446</v>
      </c>
      <c r="C188" s="7">
        <v>100</v>
      </c>
      <c r="D188" t="s">
        <v>446</v>
      </c>
      <c r="E188" s="5">
        <v>41605.413869999997</v>
      </c>
      <c r="F188" t="s">
        <v>44</v>
      </c>
      <c r="G188" s="3"/>
    </row>
    <row r="189" spans="1:7">
      <c r="A189" t="s">
        <v>447</v>
      </c>
      <c r="B189" t="s">
        <v>448</v>
      </c>
      <c r="C189" s="7">
        <v>72.379487573380487</v>
      </c>
      <c r="D189" t="s">
        <v>448</v>
      </c>
      <c r="E189" s="5">
        <v>47900.968009999997</v>
      </c>
      <c r="F189" t="s">
        <v>44</v>
      </c>
      <c r="G189" s="3"/>
    </row>
    <row r="190" spans="1:7">
      <c r="A190" t="s">
        <v>449</v>
      </c>
      <c r="B190" t="s">
        <v>450</v>
      </c>
      <c r="C190" s="7">
        <v>63.713935036967982</v>
      </c>
      <c r="D190" t="s">
        <v>451</v>
      </c>
      <c r="E190" s="5">
        <v>1120.7741699999999</v>
      </c>
      <c r="F190" t="s">
        <v>44</v>
      </c>
      <c r="G190" s="3"/>
    </row>
    <row r="191" spans="1:7">
      <c r="A191" t="s">
        <v>452</v>
      </c>
      <c r="B191" t="s">
        <v>453</v>
      </c>
      <c r="C191" s="7">
        <v>59.752580783514439</v>
      </c>
      <c r="D191" t="s">
        <v>453</v>
      </c>
      <c r="E191" s="5">
        <v>19024.120429999999</v>
      </c>
      <c r="F191" t="s">
        <v>44</v>
      </c>
      <c r="G191" s="3"/>
    </row>
    <row r="192" spans="1:7">
      <c r="A192" t="s">
        <v>454</v>
      </c>
      <c r="B192" t="s">
        <v>455</v>
      </c>
      <c r="C192" s="7">
        <v>85.603306065345606</v>
      </c>
      <c r="D192" t="s">
        <v>455</v>
      </c>
      <c r="E192" s="5">
        <v>4477.9074549999996</v>
      </c>
      <c r="F192" t="s">
        <v>44</v>
      </c>
      <c r="G192" s="3"/>
    </row>
    <row r="193" spans="1:7">
      <c r="A193" t="s">
        <v>456</v>
      </c>
      <c r="B193" t="s">
        <v>457</v>
      </c>
      <c r="C193" s="7">
        <v>36.67478855600298</v>
      </c>
      <c r="D193" t="s">
        <v>457</v>
      </c>
      <c r="E193" s="5">
        <v>3223.8523799999998</v>
      </c>
      <c r="F193" t="s">
        <v>44</v>
      </c>
      <c r="G193" s="3"/>
    </row>
    <row r="194" spans="1:7">
      <c r="A194" t="s">
        <v>458</v>
      </c>
      <c r="B194" t="s">
        <v>459</v>
      </c>
      <c r="C194" s="7">
        <v>100</v>
      </c>
      <c r="D194" t="s">
        <v>460</v>
      </c>
      <c r="E194" s="5">
        <v>1501.2220789999999</v>
      </c>
      <c r="F194" t="s">
        <v>44</v>
      </c>
      <c r="G194" s="3"/>
    </row>
    <row r="195" spans="1:7">
      <c r="A195" t="s">
        <v>461</v>
      </c>
      <c r="B195" t="s">
        <v>462</v>
      </c>
      <c r="C195" s="7">
        <v>72.852355517676656</v>
      </c>
      <c r="D195" t="s">
        <v>462</v>
      </c>
      <c r="E195" s="5">
        <v>4012.507799</v>
      </c>
      <c r="F195" t="s">
        <v>44</v>
      </c>
      <c r="G195" s="3"/>
    </row>
    <row r="196" spans="1:7" ht="15">
      <c r="A196" t="s">
        <v>463</v>
      </c>
      <c r="B196" t="s">
        <v>464</v>
      </c>
      <c r="C196" s="7">
        <v>36.004563571753536</v>
      </c>
      <c r="E196" s="5"/>
      <c r="F196" t="s">
        <v>51</v>
      </c>
      <c r="G196" s="3" t="s">
        <v>52</v>
      </c>
    </row>
    <row r="197" spans="1:7">
      <c r="A197" t="s">
        <v>465</v>
      </c>
      <c r="B197" t="s">
        <v>466</v>
      </c>
      <c r="C197" s="7">
        <v>75.649007014881136</v>
      </c>
      <c r="D197" t="s">
        <v>466</v>
      </c>
      <c r="E197" s="5">
        <v>1343.389664</v>
      </c>
      <c r="F197" t="s">
        <v>44</v>
      </c>
      <c r="G197" s="3"/>
    </row>
    <row r="198" spans="1:7">
      <c r="A198" t="s">
        <v>467</v>
      </c>
      <c r="B198" t="s">
        <v>468</v>
      </c>
      <c r="C198" s="7">
        <v>80.092149546236655</v>
      </c>
      <c r="D198" t="s">
        <v>468</v>
      </c>
      <c r="E198" s="5">
        <v>1416.800655</v>
      </c>
      <c r="F198" t="s">
        <v>44</v>
      </c>
      <c r="G198" s="3"/>
    </row>
  </sheetData>
  <conditionalFormatting sqref="F2:F198">
    <cfRule type="expression" dxfId="2" priority="1">
      <formula>F2="Yes"</formula>
    </cfRule>
    <cfRule type="expression" dxfId="1" priority="2">
      <formula>F2="No"</formula>
    </cfRule>
  </conditionalFormatting>
  <conditionalFormatting sqref="G2:G198">
    <cfRule type="expression" dxfId="0" priority="3">
      <formula>G2&lt;&gt;""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9"/>
  <sheetViews>
    <sheetView workbookViewId="0"/>
  </sheetViews>
  <sheetFormatPr baseColWidth="10" defaultColWidth="8.83203125" defaultRowHeight="14"/>
  <cols>
    <col min="1" max="1" width="30" customWidth="1"/>
    <col min="2" max="2" width="10" customWidth="1"/>
    <col min="3" max="3" width="38" customWidth="1"/>
    <col min="4" max="4" width="24" customWidth="1"/>
    <col min="5" max="5" width="28" customWidth="1"/>
    <col min="6" max="6" width="18" customWidth="1"/>
  </cols>
  <sheetData>
    <row r="1" spans="1:6" ht="32">
      <c r="A1" s="4" t="s">
        <v>38</v>
      </c>
      <c r="B1" s="4" t="s">
        <v>35</v>
      </c>
      <c r="C1" s="4" t="s">
        <v>469</v>
      </c>
      <c r="D1" s="4" t="s">
        <v>39</v>
      </c>
      <c r="E1" s="4" t="s">
        <v>36</v>
      </c>
      <c r="F1" s="4" t="s">
        <v>37</v>
      </c>
    </row>
    <row r="2" spans="1:6">
      <c r="A2" t="s">
        <v>87</v>
      </c>
      <c r="B2" t="s">
        <v>86</v>
      </c>
      <c r="C2" t="s">
        <v>19</v>
      </c>
      <c r="D2" s="5">
        <v>116513.53660000001</v>
      </c>
      <c r="E2" t="s">
        <v>87</v>
      </c>
      <c r="F2" s="7">
        <v>34.836382816405752</v>
      </c>
    </row>
    <row r="3" spans="1:6">
      <c r="A3" t="s">
        <v>279</v>
      </c>
      <c r="B3" t="s">
        <v>278</v>
      </c>
      <c r="C3" t="s">
        <v>19</v>
      </c>
      <c r="D3" s="5">
        <v>104147.1113</v>
      </c>
      <c r="E3" t="s">
        <v>279</v>
      </c>
      <c r="F3" s="7">
        <v>36.846597661258699</v>
      </c>
    </row>
    <row r="4" spans="1:6">
      <c r="A4" t="s">
        <v>241</v>
      </c>
      <c r="B4" t="s">
        <v>240</v>
      </c>
      <c r="C4" t="s">
        <v>19</v>
      </c>
      <c r="D4" s="5">
        <v>94474.987970000002</v>
      </c>
      <c r="E4" t="s">
        <v>241</v>
      </c>
      <c r="F4" s="7">
        <v>47.624737421971062</v>
      </c>
    </row>
    <row r="5" spans="1:6">
      <c r="A5" t="s">
        <v>417</v>
      </c>
      <c r="B5" t="s">
        <v>416</v>
      </c>
      <c r="C5" t="s">
        <v>19</v>
      </c>
      <c r="D5" s="5">
        <v>93018.376869999993</v>
      </c>
      <c r="E5" t="s">
        <v>417</v>
      </c>
      <c r="F5" s="7">
        <v>67.947704206878612</v>
      </c>
    </row>
    <row r="6" spans="1:6">
      <c r="A6" t="s">
        <v>118</v>
      </c>
      <c r="B6" t="s">
        <v>116</v>
      </c>
      <c r="C6" t="s">
        <v>19</v>
      </c>
      <c r="D6" s="5">
        <v>84381.473140000002</v>
      </c>
      <c r="E6" t="s">
        <v>117</v>
      </c>
      <c r="F6" s="7">
        <v>28.712950135578364</v>
      </c>
    </row>
    <row r="7" spans="1:6">
      <c r="A7" t="s">
        <v>330</v>
      </c>
      <c r="B7" t="s">
        <v>329</v>
      </c>
      <c r="C7" t="s">
        <v>19</v>
      </c>
      <c r="D7" s="5">
        <v>83487.133230000007</v>
      </c>
      <c r="E7" t="s">
        <v>330</v>
      </c>
      <c r="F7" s="7">
        <v>100</v>
      </c>
    </row>
    <row r="8" spans="1:6">
      <c r="A8" t="s">
        <v>387</v>
      </c>
      <c r="B8" t="s">
        <v>386</v>
      </c>
      <c r="C8" t="s">
        <v>19</v>
      </c>
      <c r="D8" s="5">
        <v>68129.696039999995</v>
      </c>
      <c r="E8" t="s">
        <v>387</v>
      </c>
      <c r="F8" s="7">
        <v>42.292658252378587</v>
      </c>
    </row>
    <row r="9" spans="1:6">
      <c r="A9" t="s">
        <v>440</v>
      </c>
      <c r="B9" t="s">
        <v>439</v>
      </c>
      <c r="C9" t="s">
        <v>19</v>
      </c>
      <c r="D9" s="5">
        <v>66856.513170000006</v>
      </c>
      <c r="E9" t="s">
        <v>439</v>
      </c>
      <c r="F9" s="7">
        <v>100</v>
      </c>
    </row>
    <row r="10" spans="1:6">
      <c r="A10" t="s">
        <v>133</v>
      </c>
      <c r="B10" t="s">
        <v>131</v>
      </c>
      <c r="C10" t="s">
        <v>19</v>
      </c>
      <c r="D10" s="5">
        <v>63377.293210000003</v>
      </c>
      <c r="E10" t="s">
        <v>132</v>
      </c>
      <c r="F10" s="7">
        <v>26.096174002018579</v>
      </c>
    </row>
    <row r="11" spans="1:6">
      <c r="A11" t="s">
        <v>350</v>
      </c>
      <c r="B11" t="s">
        <v>349</v>
      </c>
      <c r="C11" t="s">
        <v>19</v>
      </c>
      <c r="D11" s="5">
        <v>62395.311329999997</v>
      </c>
      <c r="E11" t="s">
        <v>350</v>
      </c>
      <c r="F11" s="7">
        <v>100</v>
      </c>
    </row>
    <row r="12" spans="1:6">
      <c r="A12" t="s">
        <v>64</v>
      </c>
      <c r="B12" t="s">
        <v>63</v>
      </c>
      <c r="C12" t="s">
        <v>19</v>
      </c>
      <c r="D12" s="5">
        <v>61486.381479999996</v>
      </c>
      <c r="E12" t="s">
        <v>64</v>
      </c>
      <c r="F12" s="7">
        <v>100</v>
      </c>
    </row>
    <row r="13" spans="1:6">
      <c r="A13" t="s">
        <v>160</v>
      </c>
      <c r="B13" t="s">
        <v>159</v>
      </c>
      <c r="C13" t="s">
        <v>19</v>
      </c>
      <c r="D13" s="5">
        <v>60772.862430000001</v>
      </c>
      <c r="E13" t="s">
        <v>160</v>
      </c>
      <c r="F13" s="7">
        <v>76.616861061597646</v>
      </c>
    </row>
    <row r="14" spans="1:6">
      <c r="A14" t="s">
        <v>230</v>
      </c>
      <c r="B14" t="s">
        <v>229</v>
      </c>
      <c r="C14" t="s">
        <v>19</v>
      </c>
      <c r="D14" s="5">
        <v>59053.564839999999</v>
      </c>
      <c r="E14" t="s">
        <v>230</v>
      </c>
      <c r="F14" s="7">
        <v>74.613727846371333</v>
      </c>
    </row>
    <row r="15" spans="1:6">
      <c r="A15" t="s">
        <v>415</v>
      </c>
      <c r="B15" t="s">
        <v>414</v>
      </c>
      <c r="C15" t="s">
        <v>19</v>
      </c>
      <c r="D15" s="5">
        <v>54316.261930000001</v>
      </c>
      <c r="E15" t="s">
        <v>415</v>
      </c>
      <c r="F15" s="7">
        <v>79.468760117547916</v>
      </c>
    </row>
    <row r="16" spans="1:6">
      <c r="A16" t="s">
        <v>316</v>
      </c>
      <c r="B16" t="s">
        <v>315</v>
      </c>
      <c r="C16" t="s">
        <v>19</v>
      </c>
      <c r="D16" s="5">
        <v>51174.899729999997</v>
      </c>
      <c r="E16" t="s">
        <v>316</v>
      </c>
      <c r="F16" s="7">
        <v>52.900836224594983</v>
      </c>
    </row>
    <row r="17" spans="1:6">
      <c r="A17" t="s">
        <v>448</v>
      </c>
      <c r="B17" t="s">
        <v>447</v>
      </c>
      <c r="C17" t="s">
        <v>19</v>
      </c>
      <c r="D17" s="5">
        <v>47900.968009999997</v>
      </c>
      <c r="E17" t="s">
        <v>448</v>
      </c>
      <c r="F17" s="7">
        <v>72.379487573380487</v>
      </c>
    </row>
    <row r="18" spans="1:6">
      <c r="A18" t="s">
        <v>66</v>
      </c>
      <c r="B18" t="s">
        <v>65</v>
      </c>
      <c r="C18" t="s">
        <v>19</v>
      </c>
      <c r="D18" s="5">
        <v>45958.82501</v>
      </c>
      <c r="E18" t="s">
        <v>66</v>
      </c>
      <c r="F18" s="7">
        <v>54.875246241835185</v>
      </c>
    </row>
    <row r="19" spans="1:6">
      <c r="A19" t="s">
        <v>191</v>
      </c>
      <c r="B19" t="s">
        <v>190</v>
      </c>
      <c r="C19" t="s">
        <v>19</v>
      </c>
      <c r="D19" s="5">
        <v>45075.168489999996</v>
      </c>
      <c r="E19" t="s">
        <v>191</v>
      </c>
      <c r="F19" s="7">
        <v>71.706223445736001</v>
      </c>
    </row>
    <row r="20" spans="1:6">
      <c r="A20" t="s">
        <v>115</v>
      </c>
      <c r="B20" t="s">
        <v>114</v>
      </c>
      <c r="C20" t="s">
        <v>19</v>
      </c>
      <c r="D20" s="5">
        <v>45061.386460000002</v>
      </c>
      <c r="E20" t="s">
        <v>115</v>
      </c>
      <c r="F20" s="7">
        <v>100</v>
      </c>
    </row>
    <row r="21" spans="1:6">
      <c r="A21" t="s">
        <v>81</v>
      </c>
      <c r="B21" t="s">
        <v>80</v>
      </c>
      <c r="C21" t="s">
        <v>19</v>
      </c>
      <c r="D21" s="5">
        <v>45019.698969999998</v>
      </c>
      <c r="E21" t="s">
        <v>81</v>
      </c>
      <c r="F21" s="7">
        <v>47.417999674012314</v>
      </c>
    </row>
    <row r="22" spans="1:6">
      <c r="A22" t="s">
        <v>130</v>
      </c>
      <c r="B22" t="s">
        <v>128</v>
      </c>
      <c r="C22" t="s">
        <v>19</v>
      </c>
      <c r="D22" s="5">
        <v>44734.436529999999</v>
      </c>
      <c r="E22" t="s">
        <v>129</v>
      </c>
      <c r="F22" s="7">
        <v>35.265238892870165</v>
      </c>
    </row>
    <row r="23" spans="1:6">
      <c r="A23" t="s">
        <v>204</v>
      </c>
      <c r="B23" t="s">
        <v>203</v>
      </c>
      <c r="C23" t="s">
        <v>19</v>
      </c>
      <c r="D23" s="5">
        <v>44027.763160000002</v>
      </c>
      <c r="E23" t="s">
        <v>204</v>
      </c>
      <c r="F23" s="7">
        <v>56.000510188943849</v>
      </c>
    </row>
    <row r="24" spans="1:6">
      <c r="A24" t="s">
        <v>243</v>
      </c>
      <c r="B24" t="s">
        <v>242</v>
      </c>
      <c r="C24" t="s">
        <v>19</v>
      </c>
      <c r="D24" s="5">
        <v>41882.047469999998</v>
      </c>
      <c r="E24" t="s">
        <v>243</v>
      </c>
      <c r="F24" s="7">
        <v>99.586824766822673</v>
      </c>
    </row>
    <row r="25" spans="1:6">
      <c r="A25" t="s">
        <v>446</v>
      </c>
      <c r="B25" t="s">
        <v>445</v>
      </c>
      <c r="C25" t="s">
        <v>19</v>
      </c>
      <c r="D25" s="5">
        <v>41605.413869999997</v>
      </c>
      <c r="E25" t="s">
        <v>446</v>
      </c>
      <c r="F25" s="7">
        <v>100</v>
      </c>
    </row>
    <row r="26" spans="1:6">
      <c r="A26" t="s">
        <v>320</v>
      </c>
      <c r="B26" t="s">
        <v>319</v>
      </c>
      <c r="C26" t="s">
        <v>19</v>
      </c>
      <c r="D26" s="5">
        <v>41415.467060000003</v>
      </c>
      <c r="E26" t="s">
        <v>320</v>
      </c>
      <c r="F26" s="7">
        <v>70.67769960376215</v>
      </c>
    </row>
    <row r="27" spans="1:6">
      <c r="A27" t="s">
        <v>193</v>
      </c>
      <c r="B27" t="s">
        <v>192</v>
      </c>
      <c r="C27" t="s">
        <v>19</v>
      </c>
      <c r="D27" s="5">
        <v>39683.395349999999</v>
      </c>
      <c r="E27" t="s">
        <v>193</v>
      </c>
      <c r="F27" s="7">
        <v>69.60267677428385</v>
      </c>
    </row>
    <row r="28" spans="1:6">
      <c r="A28" t="s">
        <v>249</v>
      </c>
      <c r="B28" t="s">
        <v>248</v>
      </c>
      <c r="C28" t="s">
        <v>19</v>
      </c>
      <c r="D28" s="5">
        <v>37976.637179999998</v>
      </c>
      <c r="E28" t="s">
        <v>249</v>
      </c>
      <c r="F28" s="7">
        <v>48.353474018031861</v>
      </c>
    </row>
    <row r="29" spans="1:6">
      <c r="A29" t="s">
        <v>353</v>
      </c>
      <c r="B29" t="s">
        <v>351</v>
      </c>
      <c r="C29" t="s">
        <v>19</v>
      </c>
      <c r="D29" s="5">
        <v>37048.426399999997</v>
      </c>
      <c r="E29" t="s">
        <v>352</v>
      </c>
      <c r="F29" s="7">
        <v>50.026525019786639</v>
      </c>
    </row>
    <row r="30" spans="1:6">
      <c r="A30" t="s">
        <v>245</v>
      </c>
      <c r="B30" t="s">
        <v>244</v>
      </c>
      <c r="C30" t="s">
        <v>19</v>
      </c>
      <c r="D30" s="5">
        <v>34508.123520000001</v>
      </c>
      <c r="E30" t="s">
        <v>245</v>
      </c>
      <c r="F30" s="7">
        <v>47.572926550387919</v>
      </c>
    </row>
    <row r="31" spans="1:6">
      <c r="A31" t="s">
        <v>291</v>
      </c>
      <c r="B31" t="s">
        <v>290</v>
      </c>
      <c r="C31" t="s">
        <v>19</v>
      </c>
      <c r="D31" s="5">
        <v>34501.789270000001</v>
      </c>
      <c r="E31" t="s">
        <v>291</v>
      </c>
      <c r="F31" s="7">
        <v>39.410903298159361</v>
      </c>
    </row>
    <row r="32" spans="1:6">
      <c r="A32" t="s">
        <v>71</v>
      </c>
      <c r="B32" t="s">
        <v>69</v>
      </c>
      <c r="C32" t="s">
        <v>19</v>
      </c>
      <c r="D32" s="5">
        <v>33968.203220000003</v>
      </c>
      <c r="E32" t="s">
        <v>70</v>
      </c>
      <c r="F32" s="7">
        <v>34.293393015419504</v>
      </c>
    </row>
    <row r="33" spans="1:6">
      <c r="A33" t="s">
        <v>62</v>
      </c>
      <c r="B33" t="s">
        <v>61</v>
      </c>
      <c r="C33" t="s">
        <v>19</v>
      </c>
      <c r="D33" s="5">
        <v>33938.954180000001</v>
      </c>
      <c r="E33" t="s">
        <v>62</v>
      </c>
      <c r="F33" s="7">
        <v>28.305691376839871</v>
      </c>
    </row>
    <row r="34" spans="1:6">
      <c r="A34" t="s">
        <v>222</v>
      </c>
      <c r="B34" t="s">
        <v>221</v>
      </c>
      <c r="C34" t="s">
        <v>19</v>
      </c>
      <c r="D34" s="5">
        <v>33034.94887</v>
      </c>
      <c r="E34" t="s">
        <v>222</v>
      </c>
      <c r="F34" s="7">
        <v>24.425881384786475</v>
      </c>
    </row>
    <row r="35" spans="1:6">
      <c r="A35" t="s">
        <v>148</v>
      </c>
      <c r="B35" t="s">
        <v>147</v>
      </c>
      <c r="C35" t="s">
        <v>19</v>
      </c>
      <c r="D35" s="5">
        <v>32757.541020000001</v>
      </c>
      <c r="E35" t="s">
        <v>148</v>
      </c>
      <c r="F35" s="7">
        <v>37.013462625084671</v>
      </c>
    </row>
    <row r="36" spans="1:6">
      <c r="A36" t="s">
        <v>101</v>
      </c>
      <c r="B36" t="s">
        <v>100</v>
      </c>
      <c r="C36" t="s">
        <v>19</v>
      </c>
      <c r="D36" s="5">
        <v>29563.868279999999</v>
      </c>
      <c r="E36" t="s">
        <v>101</v>
      </c>
      <c r="F36" s="7">
        <v>100</v>
      </c>
    </row>
    <row r="37" spans="1:6">
      <c r="A37" t="s">
        <v>404</v>
      </c>
      <c r="B37" t="s">
        <v>403</v>
      </c>
      <c r="C37" t="s">
        <v>19</v>
      </c>
      <c r="D37" s="5">
        <v>29245.219249999998</v>
      </c>
      <c r="E37" t="s">
        <v>404</v>
      </c>
      <c r="F37" s="7">
        <v>51.585257957805034</v>
      </c>
    </row>
    <row r="38" spans="1:6">
      <c r="A38" t="s">
        <v>392</v>
      </c>
      <c r="B38" t="s">
        <v>391</v>
      </c>
      <c r="C38" t="s">
        <v>19</v>
      </c>
      <c r="D38" s="5">
        <v>26134.627199999999</v>
      </c>
      <c r="E38" t="s">
        <v>392</v>
      </c>
      <c r="F38" s="7">
        <v>67.049511684791185</v>
      </c>
    </row>
    <row r="39" spans="1:6">
      <c r="A39" t="s">
        <v>73</v>
      </c>
      <c r="B39" t="s">
        <v>72</v>
      </c>
      <c r="C39" t="s">
        <v>19</v>
      </c>
      <c r="D39" s="5">
        <v>25886.239320000001</v>
      </c>
      <c r="E39" t="s">
        <v>73</v>
      </c>
      <c r="F39" s="7">
        <v>100</v>
      </c>
    </row>
    <row r="40" spans="1:6">
      <c r="A40" t="s">
        <v>377</v>
      </c>
      <c r="B40" t="s">
        <v>376</v>
      </c>
      <c r="C40" t="s">
        <v>19</v>
      </c>
      <c r="D40" s="5">
        <v>25123.012210000001</v>
      </c>
      <c r="E40" t="s">
        <v>377</v>
      </c>
      <c r="F40" s="7">
        <v>100</v>
      </c>
    </row>
    <row r="41" spans="1:6">
      <c r="A41" t="s">
        <v>259</v>
      </c>
      <c r="B41" t="s">
        <v>258</v>
      </c>
      <c r="C41" t="s">
        <v>19</v>
      </c>
      <c r="D41" s="5">
        <v>24140.325799999999</v>
      </c>
      <c r="E41" t="s">
        <v>259</v>
      </c>
      <c r="F41" s="7">
        <v>100</v>
      </c>
    </row>
    <row r="42" spans="1:6">
      <c r="A42" t="s">
        <v>348</v>
      </c>
      <c r="B42" t="s">
        <v>347</v>
      </c>
      <c r="C42" t="s">
        <v>19</v>
      </c>
      <c r="D42" s="5">
        <v>22663.993129999999</v>
      </c>
      <c r="E42" t="s">
        <v>348</v>
      </c>
      <c r="F42" s="7">
        <v>50.736641399071466</v>
      </c>
    </row>
    <row r="43" spans="1:6">
      <c r="A43" t="s">
        <v>77</v>
      </c>
      <c r="B43" t="s">
        <v>76</v>
      </c>
      <c r="C43" t="s">
        <v>19</v>
      </c>
      <c r="D43" s="5">
        <v>22421.533360000001</v>
      </c>
      <c r="E43" t="s">
        <v>77</v>
      </c>
      <c r="F43" s="7">
        <v>42.742087226061834</v>
      </c>
    </row>
    <row r="44" spans="1:6">
      <c r="A44" t="s">
        <v>365</v>
      </c>
      <c r="B44" t="s">
        <v>363</v>
      </c>
      <c r="C44" t="s">
        <v>19</v>
      </c>
      <c r="D44" s="5">
        <v>21692.24064</v>
      </c>
      <c r="E44" t="s">
        <v>364</v>
      </c>
      <c r="F44" s="7">
        <v>36.431146854682062</v>
      </c>
    </row>
    <row r="45" spans="1:6">
      <c r="A45" t="s">
        <v>208</v>
      </c>
      <c r="B45" t="s">
        <v>207</v>
      </c>
      <c r="C45" t="s">
        <v>19</v>
      </c>
      <c r="D45" s="5">
        <v>21494.68561</v>
      </c>
      <c r="E45" t="s">
        <v>208</v>
      </c>
      <c r="F45" s="7">
        <v>43.766517554706098</v>
      </c>
    </row>
    <row r="46" spans="1:6">
      <c r="A46" t="s">
        <v>195</v>
      </c>
      <c r="B46" t="s">
        <v>194</v>
      </c>
      <c r="C46" t="s">
        <v>19</v>
      </c>
      <c r="D46" s="5">
        <v>20846.651409999999</v>
      </c>
      <c r="E46" t="s">
        <v>195</v>
      </c>
      <c r="F46" s="7">
        <v>40.321336659238796</v>
      </c>
    </row>
    <row r="47" spans="1:6">
      <c r="A47" t="s">
        <v>150</v>
      </c>
      <c r="B47" t="s">
        <v>149</v>
      </c>
      <c r="C47" t="s">
        <v>19</v>
      </c>
      <c r="D47" s="5">
        <v>20449.113590000001</v>
      </c>
      <c r="E47" t="s">
        <v>150</v>
      </c>
      <c r="F47" s="7">
        <v>70.740625354621287</v>
      </c>
    </row>
    <row r="48" spans="1:6">
      <c r="A48" t="s">
        <v>180</v>
      </c>
      <c r="B48" t="s">
        <v>179</v>
      </c>
      <c r="C48" t="s">
        <v>19</v>
      </c>
      <c r="D48" s="5">
        <v>20078.139759999998</v>
      </c>
      <c r="E48" t="s">
        <v>180</v>
      </c>
      <c r="F48" s="7">
        <v>51.720573188082696</v>
      </c>
    </row>
    <row r="49" spans="1:6">
      <c r="A49" t="s">
        <v>390</v>
      </c>
      <c r="B49" t="s">
        <v>388</v>
      </c>
      <c r="C49" t="s">
        <v>19</v>
      </c>
      <c r="D49" s="5">
        <v>19776.175810000001</v>
      </c>
      <c r="E49" t="s">
        <v>389</v>
      </c>
      <c r="F49" s="7">
        <v>60.510612587423275</v>
      </c>
    </row>
    <row r="50" spans="1:6">
      <c r="A50" t="s">
        <v>277</v>
      </c>
      <c r="B50" t="s">
        <v>276</v>
      </c>
      <c r="C50" t="s">
        <v>19</v>
      </c>
      <c r="D50" s="5">
        <v>19205.415229999999</v>
      </c>
      <c r="E50" t="s">
        <v>277</v>
      </c>
      <c r="F50" s="7">
        <v>46.602407792091206</v>
      </c>
    </row>
    <row r="51" spans="1:6">
      <c r="A51" t="s">
        <v>453</v>
      </c>
      <c r="B51" t="s">
        <v>452</v>
      </c>
      <c r="C51" t="s">
        <v>19</v>
      </c>
      <c r="D51" s="5">
        <v>19024.120429999999</v>
      </c>
      <c r="E51" t="s">
        <v>453</v>
      </c>
      <c r="F51" s="7">
        <v>59.752580783514439</v>
      </c>
    </row>
    <row r="52" spans="1:6">
      <c r="A52" t="s">
        <v>56</v>
      </c>
      <c r="B52" t="s">
        <v>55</v>
      </c>
      <c r="C52" t="s">
        <v>19</v>
      </c>
      <c r="D52" s="5">
        <v>18304.58368</v>
      </c>
      <c r="E52" t="s">
        <v>56</v>
      </c>
      <c r="F52" s="7">
        <v>32.820940208028425</v>
      </c>
    </row>
    <row r="53" spans="1:6">
      <c r="A53" t="s">
        <v>346</v>
      </c>
      <c r="B53" t="s">
        <v>345</v>
      </c>
      <c r="C53" t="s">
        <v>19</v>
      </c>
      <c r="D53" s="5">
        <v>18000.50346</v>
      </c>
      <c r="E53" t="s">
        <v>346</v>
      </c>
      <c r="F53" s="7">
        <v>67.408475396492733</v>
      </c>
    </row>
    <row r="54" spans="1:6">
      <c r="A54" t="s">
        <v>144</v>
      </c>
      <c r="B54" t="s">
        <v>143</v>
      </c>
      <c r="C54" t="s">
        <v>19</v>
      </c>
      <c r="D54" s="5">
        <v>17854.326260000002</v>
      </c>
      <c r="E54" t="s">
        <v>144</v>
      </c>
      <c r="F54" s="7">
        <v>55.534354280732813</v>
      </c>
    </row>
    <row r="55" spans="1:6">
      <c r="A55" t="s">
        <v>332</v>
      </c>
      <c r="B55" t="s">
        <v>331</v>
      </c>
      <c r="C55" t="s">
        <v>19</v>
      </c>
      <c r="D55" s="5">
        <v>17347.291130000001</v>
      </c>
      <c r="E55" t="s">
        <v>332</v>
      </c>
      <c r="F55" s="7">
        <v>100</v>
      </c>
    </row>
    <row r="56" spans="1:6">
      <c r="A56" t="s">
        <v>336</v>
      </c>
      <c r="B56" t="s">
        <v>335</v>
      </c>
      <c r="C56" t="s">
        <v>19</v>
      </c>
      <c r="D56" s="5">
        <v>17122.71688</v>
      </c>
      <c r="E56" t="s">
        <v>336</v>
      </c>
      <c r="F56" s="7">
        <v>39.80709613701643</v>
      </c>
    </row>
    <row r="57" spans="1:6">
      <c r="A57" t="s">
        <v>383</v>
      </c>
      <c r="B57" t="s">
        <v>382</v>
      </c>
      <c r="C57" t="s">
        <v>19</v>
      </c>
      <c r="D57" s="5">
        <v>16612.637490000001</v>
      </c>
      <c r="E57" t="s">
        <v>383</v>
      </c>
      <c r="F57" s="7">
        <v>26.722658799334155</v>
      </c>
    </row>
    <row r="58" spans="1:6">
      <c r="A58" t="s">
        <v>228</v>
      </c>
      <c r="B58" t="s">
        <v>227</v>
      </c>
      <c r="C58" t="s">
        <v>19</v>
      </c>
      <c r="D58" s="5">
        <v>16543.104909999998</v>
      </c>
      <c r="E58" t="s">
        <v>228</v>
      </c>
      <c r="F58" s="7">
        <v>61.298709624090883</v>
      </c>
    </row>
    <row r="59" spans="1:6">
      <c r="A59" t="s">
        <v>267</v>
      </c>
      <c r="B59" t="s">
        <v>266</v>
      </c>
      <c r="C59" t="s">
        <v>19</v>
      </c>
      <c r="D59" s="5">
        <v>16376.256520000001</v>
      </c>
      <c r="E59" t="s">
        <v>267</v>
      </c>
      <c r="F59" s="7">
        <v>48.963402610925968</v>
      </c>
    </row>
    <row r="60" spans="1:6">
      <c r="A60" t="s">
        <v>431</v>
      </c>
      <c r="B60" t="s">
        <v>430</v>
      </c>
      <c r="C60" t="s">
        <v>19</v>
      </c>
      <c r="D60" s="5">
        <v>16312.48496</v>
      </c>
      <c r="E60" t="s">
        <v>431</v>
      </c>
      <c r="F60" s="7">
        <v>100</v>
      </c>
    </row>
    <row r="61" spans="1:6">
      <c r="A61" t="s">
        <v>438</v>
      </c>
      <c r="B61" t="s">
        <v>436</v>
      </c>
      <c r="C61" t="s">
        <v>19</v>
      </c>
      <c r="D61" s="5">
        <v>15395.027889999999</v>
      </c>
      <c r="E61" t="s">
        <v>437</v>
      </c>
      <c r="F61" s="7">
        <v>47.76274768804015</v>
      </c>
    </row>
    <row r="62" spans="1:6">
      <c r="A62" t="s">
        <v>142</v>
      </c>
      <c r="B62" t="s">
        <v>141</v>
      </c>
      <c r="C62" t="s">
        <v>19</v>
      </c>
      <c r="D62" s="5">
        <v>15052.914989999999</v>
      </c>
      <c r="E62" t="s">
        <v>142</v>
      </c>
      <c r="F62" s="7">
        <v>44.488276955770566</v>
      </c>
    </row>
    <row r="63" spans="1:6">
      <c r="A63" t="s">
        <v>125</v>
      </c>
      <c r="B63" t="s">
        <v>124</v>
      </c>
      <c r="C63" t="s">
        <v>19</v>
      </c>
      <c r="D63" s="5">
        <v>14616.92879</v>
      </c>
      <c r="E63" t="s">
        <v>125</v>
      </c>
      <c r="F63" s="7">
        <v>48.787712903145717</v>
      </c>
    </row>
    <row r="64" spans="1:6">
      <c r="A64" t="s">
        <v>127</v>
      </c>
      <c r="B64" t="s">
        <v>126</v>
      </c>
      <c r="C64" t="s">
        <v>19</v>
      </c>
      <c r="D64" s="5">
        <v>13119.107609999999</v>
      </c>
      <c r="E64" t="s">
        <v>127</v>
      </c>
      <c r="F64" s="7">
        <v>85.330489397257978</v>
      </c>
    </row>
    <row r="65" spans="1:6">
      <c r="A65" t="s">
        <v>58</v>
      </c>
      <c r="B65" t="s">
        <v>57</v>
      </c>
      <c r="C65" t="s">
        <v>19</v>
      </c>
      <c r="D65" s="5">
        <v>12774.35066</v>
      </c>
      <c r="E65" t="s">
        <v>58</v>
      </c>
      <c r="F65" s="7">
        <v>100</v>
      </c>
    </row>
    <row r="66" spans="1:6">
      <c r="A66" t="s">
        <v>358</v>
      </c>
      <c r="B66" t="s">
        <v>357</v>
      </c>
      <c r="C66" t="s">
        <v>19</v>
      </c>
      <c r="D66" s="5">
        <v>12459.91121</v>
      </c>
      <c r="E66" t="s">
        <v>358</v>
      </c>
      <c r="F66" s="7">
        <v>80.206667879482779</v>
      </c>
    </row>
    <row r="67" spans="1:6">
      <c r="A67" t="s">
        <v>368</v>
      </c>
      <c r="B67" t="s">
        <v>366</v>
      </c>
      <c r="C67" t="s">
        <v>19</v>
      </c>
      <c r="D67" s="5">
        <v>12190.79709</v>
      </c>
      <c r="E67" t="s">
        <v>367</v>
      </c>
      <c r="F67" s="7">
        <v>25.252498689391867</v>
      </c>
    </row>
    <row r="68" spans="1:6">
      <c r="A68" t="s">
        <v>295</v>
      </c>
      <c r="B68" t="s">
        <v>294</v>
      </c>
      <c r="C68" t="s">
        <v>19</v>
      </c>
      <c r="D68" s="5">
        <v>11918.80452</v>
      </c>
      <c r="E68" t="s">
        <v>295</v>
      </c>
      <c r="F68" s="7">
        <v>39.484828758828137</v>
      </c>
    </row>
    <row r="69" spans="1:6">
      <c r="A69" t="s">
        <v>285</v>
      </c>
      <c r="B69" t="s">
        <v>284</v>
      </c>
      <c r="C69" t="s">
        <v>19</v>
      </c>
      <c r="D69" s="5">
        <v>11883.791279999999</v>
      </c>
      <c r="E69" t="s">
        <v>285</v>
      </c>
      <c r="F69" s="7">
        <v>100</v>
      </c>
    </row>
    <row r="70" spans="1:6">
      <c r="A70" t="s">
        <v>253</v>
      </c>
      <c r="B70" t="s">
        <v>252</v>
      </c>
      <c r="C70" t="s">
        <v>19</v>
      </c>
      <c r="D70" s="5">
        <v>11872.78426</v>
      </c>
      <c r="E70" t="s">
        <v>253</v>
      </c>
      <c r="F70" s="7">
        <v>100</v>
      </c>
    </row>
    <row r="71" spans="1:6">
      <c r="A71" t="s">
        <v>287</v>
      </c>
      <c r="B71" t="s">
        <v>286</v>
      </c>
      <c r="C71" t="s">
        <v>19</v>
      </c>
      <c r="D71" s="5">
        <v>11798.791370000001</v>
      </c>
      <c r="E71" t="s">
        <v>287</v>
      </c>
      <c r="F71" s="7">
        <v>35.571468036756947</v>
      </c>
    </row>
    <row r="72" spans="1:6">
      <c r="A72" t="s">
        <v>360</v>
      </c>
      <c r="B72" t="s">
        <v>359</v>
      </c>
      <c r="C72" t="s">
        <v>19</v>
      </c>
      <c r="D72" s="5">
        <v>11092.63379</v>
      </c>
      <c r="E72" t="s">
        <v>360</v>
      </c>
      <c r="F72" s="7">
        <v>100</v>
      </c>
    </row>
    <row r="73" spans="1:6">
      <c r="A73" t="s">
        <v>297</v>
      </c>
      <c r="B73" t="s">
        <v>296</v>
      </c>
      <c r="C73" t="s">
        <v>19</v>
      </c>
      <c r="D73" s="5">
        <v>10284.03369</v>
      </c>
      <c r="E73" t="s">
        <v>297</v>
      </c>
      <c r="F73" s="7">
        <v>80.442352331077302</v>
      </c>
    </row>
    <row r="74" spans="1:6">
      <c r="A74" t="s">
        <v>103</v>
      </c>
      <c r="B74" t="s">
        <v>102</v>
      </c>
      <c r="C74" t="s">
        <v>19</v>
      </c>
      <c r="D74" s="5">
        <v>10127.41526</v>
      </c>
      <c r="E74" t="s">
        <v>103</v>
      </c>
      <c r="F74" s="7">
        <v>70.016429343157654</v>
      </c>
    </row>
    <row r="75" spans="1:6">
      <c r="A75" t="s">
        <v>212</v>
      </c>
      <c r="B75" t="s">
        <v>211</v>
      </c>
      <c r="C75" t="s">
        <v>19</v>
      </c>
      <c r="D75" s="5">
        <v>10042.650310000001</v>
      </c>
      <c r="E75" t="s">
        <v>212</v>
      </c>
      <c r="F75" s="7">
        <v>24.066066166222488</v>
      </c>
    </row>
    <row r="76" spans="1:6">
      <c r="A76" t="s">
        <v>99</v>
      </c>
      <c r="B76" t="s">
        <v>98</v>
      </c>
      <c r="C76" t="s">
        <v>19</v>
      </c>
      <c r="D76" s="5">
        <v>9566.7451870000004</v>
      </c>
      <c r="E76" t="s">
        <v>99</v>
      </c>
      <c r="F76" s="7">
        <v>100</v>
      </c>
    </row>
    <row r="77" spans="1:6">
      <c r="A77" t="s">
        <v>371</v>
      </c>
      <c r="B77" t="s">
        <v>369</v>
      </c>
      <c r="C77" t="s">
        <v>19</v>
      </c>
      <c r="D77" s="5">
        <v>9485.1877120000008</v>
      </c>
      <c r="E77" t="s">
        <v>370</v>
      </c>
      <c r="F77" s="7">
        <v>36.200673648996585</v>
      </c>
    </row>
    <row r="78" spans="1:6">
      <c r="A78" t="s">
        <v>164</v>
      </c>
      <c r="B78" t="s">
        <v>163</v>
      </c>
      <c r="C78" t="s">
        <v>19</v>
      </c>
      <c r="D78" s="5">
        <v>9172.7104959999997</v>
      </c>
      <c r="E78" t="s">
        <v>164</v>
      </c>
      <c r="F78" s="7">
        <v>33.72514825680377</v>
      </c>
    </row>
    <row r="79" spans="1:6">
      <c r="A79" t="s">
        <v>167</v>
      </c>
      <c r="B79" t="s">
        <v>165</v>
      </c>
      <c r="C79" t="s">
        <v>19</v>
      </c>
      <c r="D79" s="5">
        <v>9168.454189</v>
      </c>
      <c r="E79" t="s">
        <v>166</v>
      </c>
      <c r="F79" s="7">
        <v>31.345941287241907</v>
      </c>
    </row>
    <row r="80" spans="1:6">
      <c r="A80" t="s">
        <v>381</v>
      </c>
      <c r="B80" t="s">
        <v>380</v>
      </c>
      <c r="C80" t="s">
        <v>19</v>
      </c>
      <c r="D80" s="5">
        <v>8580.261058</v>
      </c>
      <c r="E80" t="s">
        <v>381</v>
      </c>
      <c r="F80" s="7">
        <v>68.456999745431972</v>
      </c>
    </row>
    <row r="81" spans="1:6">
      <c r="A81" t="s">
        <v>301</v>
      </c>
      <c r="B81" t="s">
        <v>300</v>
      </c>
      <c r="C81" t="s">
        <v>19</v>
      </c>
      <c r="D81" s="5">
        <v>8540.0042780000003</v>
      </c>
      <c r="E81" t="s">
        <v>301</v>
      </c>
      <c r="F81" s="7">
        <v>73.783282542362329</v>
      </c>
    </row>
    <row r="82" spans="1:6">
      <c r="A82" t="s">
        <v>435</v>
      </c>
      <c r="B82" t="s">
        <v>434</v>
      </c>
      <c r="C82" t="s">
        <v>19</v>
      </c>
      <c r="D82" s="5">
        <v>8229.672611</v>
      </c>
      <c r="E82" t="s">
        <v>435</v>
      </c>
      <c r="F82" s="7">
        <v>100</v>
      </c>
    </row>
    <row r="83" spans="1:6">
      <c r="A83" t="s">
        <v>312</v>
      </c>
      <c r="B83" t="s">
        <v>310</v>
      </c>
      <c r="C83" t="s">
        <v>19</v>
      </c>
      <c r="D83" s="5">
        <v>8218.724768</v>
      </c>
      <c r="E83" t="s">
        <v>311</v>
      </c>
      <c r="F83" s="7">
        <v>31.80987683394827</v>
      </c>
    </row>
    <row r="84" spans="1:6">
      <c r="A84" t="s">
        <v>275</v>
      </c>
      <c r="B84" t="s">
        <v>274</v>
      </c>
      <c r="C84" t="s">
        <v>19</v>
      </c>
      <c r="D84" s="5">
        <v>7696.080782</v>
      </c>
      <c r="E84" t="s">
        <v>275</v>
      </c>
      <c r="F84" s="7">
        <v>100</v>
      </c>
    </row>
    <row r="85" spans="1:6">
      <c r="A85" t="s">
        <v>146</v>
      </c>
      <c r="B85" t="s">
        <v>145</v>
      </c>
      <c r="C85" t="s">
        <v>19</v>
      </c>
      <c r="D85" s="5">
        <v>7381.3977400000003</v>
      </c>
      <c r="E85" t="s">
        <v>146</v>
      </c>
      <c r="F85" s="7">
        <v>59.043957342729989</v>
      </c>
    </row>
    <row r="86" spans="1:6">
      <c r="A86" t="s">
        <v>413</v>
      </c>
      <c r="B86" t="s">
        <v>412</v>
      </c>
      <c r="C86" t="s">
        <v>19</v>
      </c>
      <c r="D86" s="5">
        <v>7246.2576820000004</v>
      </c>
      <c r="E86" t="s">
        <v>413</v>
      </c>
      <c r="F86" s="7">
        <v>99.826633774771196</v>
      </c>
    </row>
    <row r="87" spans="1:6">
      <c r="A87" t="s">
        <v>97</v>
      </c>
      <c r="B87" t="s">
        <v>96</v>
      </c>
      <c r="C87" t="s">
        <v>19</v>
      </c>
      <c r="D87" s="5">
        <v>6952.3477039999998</v>
      </c>
      <c r="E87" t="s">
        <v>97</v>
      </c>
      <c r="F87" s="7">
        <v>75.653147232953231</v>
      </c>
    </row>
    <row r="88" spans="1:6">
      <c r="A88" t="s">
        <v>135</v>
      </c>
      <c r="B88" t="s">
        <v>134</v>
      </c>
      <c r="C88" t="s">
        <v>19</v>
      </c>
      <c r="D88" s="5">
        <v>6865.3128390000002</v>
      </c>
      <c r="E88" t="s">
        <v>135</v>
      </c>
      <c r="F88" s="7">
        <v>100</v>
      </c>
    </row>
    <row r="89" spans="1:6">
      <c r="A89" t="s">
        <v>79</v>
      </c>
      <c r="B89" t="s">
        <v>78</v>
      </c>
      <c r="C89" t="s">
        <v>19</v>
      </c>
      <c r="D89" s="5">
        <v>6814.3444339999996</v>
      </c>
      <c r="E89" t="s">
        <v>79</v>
      </c>
      <c r="F89" s="7">
        <v>51.14868072510783</v>
      </c>
    </row>
    <row r="90" spans="1:6">
      <c r="A90" t="s">
        <v>95</v>
      </c>
      <c r="B90" t="s">
        <v>93</v>
      </c>
      <c r="C90" t="s">
        <v>19</v>
      </c>
      <c r="D90" s="5">
        <v>6746.953665</v>
      </c>
      <c r="E90" t="s">
        <v>94</v>
      </c>
      <c r="F90" s="7">
        <v>80.78064134936804</v>
      </c>
    </row>
    <row r="91" spans="1:6">
      <c r="A91" t="s">
        <v>342</v>
      </c>
      <c r="B91" t="s">
        <v>341</v>
      </c>
      <c r="C91" t="s">
        <v>19</v>
      </c>
      <c r="D91" s="5">
        <v>6732.2777379999998</v>
      </c>
      <c r="E91" t="s">
        <v>342</v>
      </c>
      <c r="F91" s="7">
        <v>95.698865034339747</v>
      </c>
    </row>
    <row r="92" spans="1:6">
      <c r="A92" t="s">
        <v>340</v>
      </c>
      <c r="B92" t="s">
        <v>339</v>
      </c>
      <c r="C92" t="s">
        <v>19</v>
      </c>
      <c r="D92" s="5">
        <v>6670.6995660000002</v>
      </c>
      <c r="E92" t="s">
        <v>340</v>
      </c>
      <c r="F92" s="7">
        <v>100</v>
      </c>
    </row>
    <row r="93" spans="1:6">
      <c r="A93" t="s">
        <v>328</v>
      </c>
      <c r="B93" t="s">
        <v>327</v>
      </c>
      <c r="C93" t="s">
        <v>19</v>
      </c>
      <c r="D93" s="5">
        <v>6628.8468659999999</v>
      </c>
      <c r="E93" t="s">
        <v>328</v>
      </c>
      <c r="F93" s="7">
        <v>51.495742422296722</v>
      </c>
    </row>
    <row r="94" spans="1:6">
      <c r="A94" t="s">
        <v>197</v>
      </c>
      <c r="B94" t="s">
        <v>196</v>
      </c>
      <c r="C94" t="s">
        <v>19</v>
      </c>
      <c r="D94" s="5">
        <v>6618.9868589999996</v>
      </c>
      <c r="E94" t="s">
        <v>197</v>
      </c>
      <c r="F94" s="7">
        <v>100</v>
      </c>
    </row>
    <row r="95" spans="1:6">
      <c r="A95" t="s">
        <v>423</v>
      </c>
      <c r="B95" t="s">
        <v>422</v>
      </c>
      <c r="C95" t="s">
        <v>19</v>
      </c>
      <c r="D95" s="5">
        <v>6616.5853930000003</v>
      </c>
      <c r="E95" t="s">
        <v>423</v>
      </c>
      <c r="F95" s="7">
        <v>59.579051378505987</v>
      </c>
    </row>
    <row r="96" spans="1:6">
      <c r="A96" t="s">
        <v>202</v>
      </c>
      <c r="B96" t="s">
        <v>201</v>
      </c>
      <c r="C96" t="s">
        <v>19</v>
      </c>
      <c r="D96" s="5">
        <v>6606.3577230000001</v>
      </c>
      <c r="E96" t="s">
        <v>202</v>
      </c>
      <c r="F96" s="7">
        <v>44.985932729102885</v>
      </c>
    </row>
    <row r="97" spans="1:6">
      <c r="A97" t="s">
        <v>46</v>
      </c>
      <c r="B97" t="s">
        <v>45</v>
      </c>
      <c r="C97" t="s">
        <v>19</v>
      </c>
      <c r="D97" s="5">
        <v>6549.2338739999996</v>
      </c>
      <c r="E97" t="s">
        <v>46</v>
      </c>
      <c r="F97" s="7">
        <v>84.115137700257648</v>
      </c>
    </row>
    <row r="98" spans="1:6">
      <c r="A98" t="s">
        <v>83</v>
      </c>
      <c r="B98" t="s">
        <v>82</v>
      </c>
      <c r="C98" t="s">
        <v>19</v>
      </c>
      <c r="D98" s="5">
        <v>6290.492945</v>
      </c>
      <c r="E98" t="s">
        <v>83</v>
      </c>
      <c r="F98" s="7">
        <v>48.982168910950165</v>
      </c>
    </row>
    <row r="99" spans="1:6">
      <c r="A99" t="s">
        <v>247</v>
      </c>
      <c r="B99" t="s">
        <v>246</v>
      </c>
      <c r="C99" t="s">
        <v>19</v>
      </c>
      <c r="D99" s="5">
        <v>6096.4327030000004</v>
      </c>
      <c r="E99" t="s">
        <v>247</v>
      </c>
      <c r="F99" s="7">
        <v>31.008342024661061</v>
      </c>
    </row>
    <row r="100" spans="1:6">
      <c r="A100" t="s">
        <v>169</v>
      </c>
      <c r="B100" t="s">
        <v>168</v>
      </c>
      <c r="C100" t="s">
        <v>19</v>
      </c>
      <c r="D100" s="5">
        <v>5993.7469780000001</v>
      </c>
      <c r="E100" t="s">
        <v>169</v>
      </c>
      <c r="F100" s="7">
        <v>100</v>
      </c>
    </row>
    <row r="101" spans="1:6">
      <c r="A101" t="s">
        <v>189</v>
      </c>
      <c r="B101" t="s">
        <v>188</v>
      </c>
      <c r="C101" t="s">
        <v>19</v>
      </c>
      <c r="D101" s="5">
        <v>5935.2089569999998</v>
      </c>
      <c r="E101" t="s">
        <v>189</v>
      </c>
      <c r="F101" s="7">
        <v>38.389234882697899</v>
      </c>
    </row>
    <row r="102" spans="1:6">
      <c r="A102" t="s">
        <v>68</v>
      </c>
      <c r="B102" t="s">
        <v>67</v>
      </c>
      <c r="C102" t="s">
        <v>19</v>
      </c>
      <c r="D102" s="5">
        <v>5876.0329549999997</v>
      </c>
      <c r="E102" t="s">
        <v>68</v>
      </c>
      <c r="F102" s="7">
        <v>100</v>
      </c>
    </row>
    <row r="103" spans="1:6">
      <c r="A103" t="s">
        <v>237</v>
      </c>
      <c r="B103" t="s">
        <v>235</v>
      </c>
      <c r="C103" t="s">
        <v>19</v>
      </c>
      <c r="D103" s="5">
        <v>5834.4429689999997</v>
      </c>
      <c r="E103" t="s">
        <v>236</v>
      </c>
      <c r="F103" s="7">
        <v>100</v>
      </c>
    </row>
    <row r="104" spans="1:6">
      <c r="A104" t="s">
        <v>400</v>
      </c>
      <c r="B104" t="s">
        <v>399</v>
      </c>
      <c r="C104" t="s">
        <v>19</v>
      </c>
      <c r="D104" s="5">
        <v>5715.4753149999997</v>
      </c>
      <c r="E104" t="s">
        <v>400</v>
      </c>
      <c r="F104" s="7">
        <v>100</v>
      </c>
    </row>
    <row r="105" spans="1:6">
      <c r="A105" t="s">
        <v>269</v>
      </c>
      <c r="B105" t="s">
        <v>268</v>
      </c>
      <c r="C105" t="s">
        <v>19</v>
      </c>
      <c r="D105" s="5">
        <v>5391.2291420000001</v>
      </c>
      <c r="E105" t="s">
        <v>269</v>
      </c>
      <c r="F105" s="7">
        <v>32.937449533694604</v>
      </c>
    </row>
    <row r="106" spans="1:6">
      <c r="A106" t="s">
        <v>60</v>
      </c>
      <c r="B106" t="s">
        <v>59</v>
      </c>
      <c r="C106" t="s">
        <v>19</v>
      </c>
      <c r="D106" s="5">
        <v>5378.3180000000002</v>
      </c>
      <c r="E106" t="s">
        <v>60</v>
      </c>
      <c r="F106" s="7">
        <v>42.592748265264355</v>
      </c>
    </row>
    <row r="107" spans="1:6">
      <c r="A107" t="s">
        <v>176</v>
      </c>
      <c r="B107" t="s">
        <v>175</v>
      </c>
      <c r="C107" t="s">
        <v>19</v>
      </c>
      <c r="D107" s="5">
        <v>4892.9531049999996</v>
      </c>
      <c r="E107" t="s">
        <v>176</v>
      </c>
      <c r="F107" s="7">
        <v>100</v>
      </c>
    </row>
    <row r="108" spans="1:6">
      <c r="A108" t="s">
        <v>373</v>
      </c>
      <c r="B108" t="s">
        <v>372</v>
      </c>
      <c r="C108" t="s">
        <v>19</v>
      </c>
      <c r="D108" s="5">
        <v>4880.5441799999999</v>
      </c>
      <c r="E108" t="s">
        <v>373</v>
      </c>
      <c r="F108" s="7">
        <v>32.303557135260739</v>
      </c>
    </row>
    <row r="109" spans="1:6">
      <c r="A109" t="s">
        <v>429</v>
      </c>
      <c r="B109" t="s">
        <v>428</v>
      </c>
      <c r="C109" t="s">
        <v>19</v>
      </c>
      <c r="D109" s="5">
        <v>4779.9239989999996</v>
      </c>
      <c r="E109" t="s">
        <v>429</v>
      </c>
      <c r="F109" s="7">
        <v>27.985269821263447</v>
      </c>
    </row>
    <row r="110" spans="1:6">
      <c r="A110" t="s">
        <v>48</v>
      </c>
      <c r="B110" t="s">
        <v>47</v>
      </c>
      <c r="C110" t="s">
        <v>19</v>
      </c>
      <c r="D110" s="5">
        <v>4765.729002</v>
      </c>
      <c r="E110" t="s">
        <v>48</v>
      </c>
      <c r="F110" s="7">
        <v>100</v>
      </c>
    </row>
    <row r="111" spans="1:6">
      <c r="A111" t="s">
        <v>299</v>
      </c>
      <c r="B111" t="s">
        <v>298</v>
      </c>
      <c r="C111" t="s">
        <v>19</v>
      </c>
      <c r="D111" s="5">
        <v>4626.796096</v>
      </c>
      <c r="E111" t="s">
        <v>299</v>
      </c>
      <c r="F111" s="7">
        <v>100</v>
      </c>
    </row>
    <row r="112" spans="1:6">
      <c r="A112" t="s">
        <v>174</v>
      </c>
      <c r="B112" t="s">
        <v>173</v>
      </c>
      <c r="C112" t="s">
        <v>19</v>
      </c>
      <c r="D112" s="5">
        <v>4576.5584660000004</v>
      </c>
      <c r="E112" t="s">
        <v>174</v>
      </c>
      <c r="F112" s="7">
        <v>38.185357174046253</v>
      </c>
    </row>
    <row r="113" spans="1:6">
      <c r="A113" t="s">
        <v>216</v>
      </c>
      <c r="B113" t="s">
        <v>215</v>
      </c>
      <c r="C113" t="s">
        <v>19</v>
      </c>
      <c r="D113" s="5">
        <v>4564.2137849999999</v>
      </c>
      <c r="E113" t="s">
        <v>216</v>
      </c>
      <c r="F113" s="7">
        <v>40.086649494773994</v>
      </c>
    </row>
    <row r="114" spans="1:6">
      <c r="A114" t="s">
        <v>455</v>
      </c>
      <c r="B114" t="s">
        <v>454</v>
      </c>
      <c r="C114" t="s">
        <v>19</v>
      </c>
      <c r="D114" s="5">
        <v>4477.9074549999996</v>
      </c>
      <c r="E114" t="s">
        <v>455</v>
      </c>
      <c r="F114" s="7">
        <v>85.603306065345606</v>
      </c>
    </row>
    <row r="115" spans="1:6">
      <c r="A115" t="s">
        <v>251</v>
      </c>
      <c r="B115" t="s">
        <v>250</v>
      </c>
      <c r="C115" t="s">
        <v>19</v>
      </c>
      <c r="D115" s="5">
        <v>4441.0397489999996</v>
      </c>
      <c r="E115" t="s">
        <v>251</v>
      </c>
      <c r="F115" s="7">
        <v>36.948258470429742</v>
      </c>
    </row>
    <row r="116" spans="1:6">
      <c r="A116" t="s">
        <v>109</v>
      </c>
      <c r="B116" t="s">
        <v>108</v>
      </c>
      <c r="C116" t="s">
        <v>19</v>
      </c>
      <c r="D116" s="5">
        <v>4438.3874189999997</v>
      </c>
      <c r="E116" t="s">
        <v>109</v>
      </c>
      <c r="F116" s="7">
        <v>40.606542539960209</v>
      </c>
    </row>
    <row r="117" spans="1:6">
      <c r="A117" t="s">
        <v>234</v>
      </c>
      <c r="B117" t="s">
        <v>233</v>
      </c>
      <c r="C117" t="s">
        <v>19</v>
      </c>
      <c r="D117" s="5">
        <v>4367.9474179999997</v>
      </c>
      <c r="E117" t="s">
        <v>234</v>
      </c>
      <c r="F117" s="7">
        <v>100</v>
      </c>
    </row>
    <row r="118" spans="1:6">
      <c r="A118" t="s">
        <v>406</v>
      </c>
      <c r="B118" t="s">
        <v>405</v>
      </c>
      <c r="C118" t="s">
        <v>19</v>
      </c>
      <c r="D118" s="5">
        <v>4198.7451369999999</v>
      </c>
      <c r="E118" t="s">
        <v>406</v>
      </c>
      <c r="F118" s="7">
        <v>44.776384019955074</v>
      </c>
    </row>
    <row r="119" spans="1:6">
      <c r="A119" t="s">
        <v>239</v>
      </c>
      <c r="B119" t="s">
        <v>238</v>
      </c>
      <c r="C119" t="s">
        <v>19</v>
      </c>
      <c r="D119" s="5">
        <v>4180.2961949999999</v>
      </c>
      <c r="E119" t="s">
        <v>239</v>
      </c>
      <c r="F119" s="7">
        <v>100</v>
      </c>
    </row>
    <row r="120" spans="1:6">
      <c r="A120" t="s">
        <v>172</v>
      </c>
      <c r="B120" t="s">
        <v>170</v>
      </c>
      <c r="C120" t="s">
        <v>19</v>
      </c>
      <c r="D120" s="5">
        <v>4137.6092920000001</v>
      </c>
      <c r="E120" t="s">
        <v>171</v>
      </c>
      <c r="F120" s="7">
        <v>82.51499266704883</v>
      </c>
    </row>
    <row r="121" spans="1:6">
      <c r="A121" t="s">
        <v>309</v>
      </c>
      <c r="B121" t="s">
        <v>308</v>
      </c>
      <c r="C121" t="s">
        <v>19</v>
      </c>
      <c r="D121" s="5">
        <v>4032.401507</v>
      </c>
      <c r="E121" t="s">
        <v>309</v>
      </c>
      <c r="F121" s="7">
        <v>44.806905035898794</v>
      </c>
    </row>
    <row r="122" spans="1:6">
      <c r="A122" t="s">
        <v>462</v>
      </c>
      <c r="B122" t="s">
        <v>461</v>
      </c>
      <c r="C122" t="s">
        <v>19</v>
      </c>
      <c r="D122" s="5">
        <v>4012.507799</v>
      </c>
      <c r="E122" t="s">
        <v>462</v>
      </c>
      <c r="F122" s="7">
        <v>72.852355517676656</v>
      </c>
    </row>
    <row r="123" spans="1:6">
      <c r="A123" t="s">
        <v>433</v>
      </c>
      <c r="B123" t="s">
        <v>432</v>
      </c>
      <c r="C123" t="s">
        <v>19</v>
      </c>
      <c r="D123" s="5">
        <v>4006.2058830000001</v>
      </c>
      <c r="E123" t="s">
        <v>433</v>
      </c>
      <c r="F123" s="7">
        <v>49.097910208063425</v>
      </c>
    </row>
    <row r="124" spans="1:6">
      <c r="A124" t="s">
        <v>344</v>
      </c>
      <c r="B124" t="s">
        <v>343</v>
      </c>
      <c r="C124" t="s">
        <v>19</v>
      </c>
      <c r="D124" s="5">
        <v>3926.1490090000002</v>
      </c>
      <c r="E124" t="s">
        <v>344</v>
      </c>
      <c r="F124" s="7">
        <v>49.884799144197331</v>
      </c>
    </row>
    <row r="125" spans="1:6">
      <c r="A125" t="s">
        <v>182</v>
      </c>
      <c r="B125" t="s">
        <v>181</v>
      </c>
      <c r="C125" t="s">
        <v>19</v>
      </c>
      <c r="D125" s="5">
        <v>3866.371279</v>
      </c>
      <c r="E125" t="s">
        <v>182</v>
      </c>
      <c r="F125" s="7">
        <v>59.329804566812662</v>
      </c>
    </row>
    <row r="126" spans="1:6">
      <c r="A126" t="s">
        <v>356</v>
      </c>
      <c r="B126" t="s">
        <v>354</v>
      </c>
      <c r="C126" t="s">
        <v>19</v>
      </c>
      <c r="D126" s="5">
        <v>3855.5694039999998</v>
      </c>
      <c r="E126" t="s">
        <v>355</v>
      </c>
      <c r="F126" s="7">
        <v>31.423659422955751</v>
      </c>
    </row>
    <row r="127" spans="1:6">
      <c r="A127" t="s">
        <v>89</v>
      </c>
      <c r="B127" t="s">
        <v>88</v>
      </c>
      <c r="C127" t="s">
        <v>19</v>
      </c>
      <c r="D127" s="5">
        <v>3717.2105310000002</v>
      </c>
      <c r="E127" t="s">
        <v>89</v>
      </c>
      <c r="F127" s="7">
        <v>74.161990842641586</v>
      </c>
    </row>
    <row r="128" spans="1:6">
      <c r="A128" t="s">
        <v>303</v>
      </c>
      <c r="B128" t="s">
        <v>302</v>
      </c>
      <c r="C128" t="s">
        <v>19</v>
      </c>
      <c r="D128" s="5">
        <v>3516.1540530000002</v>
      </c>
      <c r="E128" t="s">
        <v>303</v>
      </c>
      <c r="F128" s="7">
        <v>38.177987871169037</v>
      </c>
    </row>
    <row r="129" spans="1:6">
      <c r="A129" t="s">
        <v>162</v>
      </c>
      <c r="B129" t="s">
        <v>161</v>
      </c>
      <c r="C129" t="s">
        <v>19</v>
      </c>
      <c r="D129" s="5">
        <v>3290.4248210000001</v>
      </c>
      <c r="E129" t="s">
        <v>162</v>
      </c>
      <c r="F129" s="7">
        <v>23.957503617550337</v>
      </c>
    </row>
    <row r="130" spans="1:6">
      <c r="A130" t="s">
        <v>457</v>
      </c>
      <c r="B130" t="s">
        <v>456</v>
      </c>
      <c r="C130" t="s">
        <v>19</v>
      </c>
      <c r="D130" s="5">
        <v>3223.8523799999998</v>
      </c>
      <c r="E130" t="s">
        <v>457</v>
      </c>
      <c r="F130" s="7">
        <v>36.67478855600298</v>
      </c>
    </row>
    <row r="131" spans="1:6">
      <c r="A131" t="s">
        <v>92</v>
      </c>
      <c r="B131" t="s">
        <v>90</v>
      </c>
      <c r="C131" t="s">
        <v>19</v>
      </c>
      <c r="D131" s="5">
        <v>3045.6147660000001</v>
      </c>
      <c r="E131" t="s">
        <v>91</v>
      </c>
      <c r="F131" s="7">
        <v>100</v>
      </c>
    </row>
    <row r="132" spans="1:6">
      <c r="A132" t="s">
        <v>187</v>
      </c>
      <c r="B132" t="s">
        <v>185</v>
      </c>
      <c r="C132" t="s">
        <v>19</v>
      </c>
      <c r="D132" s="5">
        <v>3001.7966970000002</v>
      </c>
      <c r="E132" t="s">
        <v>186</v>
      </c>
      <c r="F132" s="7">
        <v>40.228422238395801</v>
      </c>
    </row>
    <row r="133" spans="1:6">
      <c r="A133" t="s">
        <v>54</v>
      </c>
      <c r="B133" t="s">
        <v>53</v>
      </c>
      <c r="C133" t="s">
        <v>19</v>
      </c>
      <c r="D133" s="5">
        <v>2798.5939279999998</v>
      </c>
      <c r="E133" t="s">
        <v>54</v>
      </c>
      <c r="F133" s="7">
        <v>100</v>
      </c>
    </row>
    <row r="134" spans="1:6">
      <c r="A134" t="s">
        <v>265</v>
      </c>
      <c r="B134" t="s">
        <v>263</v>
      </c>
      <c r="C134" t="s">
        <v>19</v>
      </c>
      <c r="D134" s="5">
        <v>2721.0781069999998</v>
      </c>
      <c r="E134" t="s">
        <v>264</v>
      </c>
      <c r="F134" s="7">
        <v>100</v>
      </c>
    </row>
    <row r="135" spans="1:6">
      <c r="A135" t="s">
        <v>226</v>
      </c>
      <c r="B135" t="s">
        <v>225</v>
      </c>
      <c r="C135" t="s">
        <v>19</v>
      </c>
      <c r="D135" s="5">
        <v>2575.3208119999999</v>
      </c>
      <c r="E135" t="s">
        <v>226</v>
      </c>
      <c r="F135" s="7">
        <v>32.644305739004643</v>
      </c>
    </row>
    <row r="136" spans="1:6">
      <c r="A136" t="s">
        <v>338</v>
      </c>
      <c r="B136" t="s">
        <v>337</v>
      </c>
      <c r="C136" t="s">
        <v>19</v>
      </c>
      <c r="D136" s="5">
        <v>2566.9106710000001</v>
      </c>
      <c r="E136" t="s">
        <v>338</v>
      </c>
      <c r="F136" s="7">
        <v>100</v>
      </c>
    </row>
    <row r="137" spans="1:6">
      <c r="A137" t="s">
        <v>153</v>
      </c>
      <c r="B137" t="s">
        <v>151</v>
      </c>
      <c r="C137" t="s">
        <v>19</v>
      </c>
      <c r="D137" s="5">
        <v>2395.6591699999999</v>
      </c>
      <c r="E137" t="s">
        <v>152</v>
      </c>
      <c r="F137" s="7">
        <v>75.164047467392948</v>
      </c>
    </row>
    <row r="138" spans="1:6">
      <c r="A138" t="s">
        <v>232</v>
      </c>
      <c r="B138" t="s">
        <v>231</v>
      </c>
      <c r="C138" t="s">
        <v>19</v>
      </c>
      <c r="D138" s="5">
        <v>2366.832891</v>
      </c>
      <c r="E138" t="s">
        <v>232</v>
      </c>
      <c r="F138" s="7">
        <v>73.304869471077836</v>
      </c>
    </row>
    <row r="139" spans="1:6">
      <c r="A139" t="s">
        <v>326</v>
      </c>
      <c r="B139" t="s">
        <v>325</v>
      </c>
      <c r="C139" t="s">
        <v>19</v>
      </c>
      <c r="D139" s="5">
        <v>2324.5970240000001</v>
      </c>
      <c r="E139" t="s">
        <v>326</v>
      </c>
      <c r="F139" s="7">
        <v>100</v>
      </c>
    </row>
    <row r="140" spans="1:6">
      <c r="A140" t="s">
        <v>322</v>
      </c>
      <c r="B140" t="s">
        <v>321</v>
      </c>
      <c r="C140" t="s">
        <v>19</v>
      </c>
      <c r="D140" s="5">
        <v>2290.3199199999999</v>
      </c>
      <c r="E140" t="s">
        <v>322</v>
      </c>
      <c r="F140" s="7">
        <v>37.08566826751786</v>
      </c>
    </row>
    <row r="141" spans="1:6">
      <c r="A141" t="s">
        <v>409</v>
      </c>
      <c r="B141" t="s">
        <v>407</v>
      </c>
      <c r="C141" t="s">
        <v>19</v>
      </c>
      <c r="D141" s="5">
        <v>2258.206987</v>
      </c>
      <c r="E141" t="s">
        <v>408</v>
      </c>
      <c r="F141" s="7">
        <v>25.841649501298324</v>
      </c>
    </row>
    <row r="142" spans="1:6">
      <c r="A142" t="s">
        <v>444</v>
      </c>
      <c r="B142" t="s">
        <v>443</v>
      </c>
      <c r="C142" t="s">
        <v>19</v>
      </c>
      <c r="D142" s="5">
        <v>2226.0581050000001</v>
      </c>
      <c r="E142" t="s">
        <v>444</v>
      </c>
      <c r="F142" s="7">
        <v>82.910622977571066</v>
      </c>
    </row>
    <row r="143" spans="1:6">
      <c r="A143" t="s">
        <v>111</v>
      </c>
      <c r="B143" t="s">
        <v>110</v>
      </c>
      <c r="C143" t="s">
        <v>19</v>
      </c>
      <c r="D143" s="5">
        <v>2183.5568239999998</v>
      </c>
      <c r="E143" t="s">
        <v>111</v>
      </c>
      <c r="F143" s="7">
        <v>41.72688302743385</v>
      </c>
    </row>
    <row r="144" spans="1:6">
      <c r="A144" t="s">
        <v>206</v>
      </c>
      <c r="B144" t="s">
        <v>205</v>
      </c>
      <c r="C144" t="s">
        <v>19</v>
      </c>
      <c r="D144" s="5">
        <v>2173.0032980000001</v>
      </c>
      <c r="E144" t="s">
        <v>206</v>
      </c>
      <c r="F144" s="7">
        <v>100</v>
      </c>
    </row>
    <row r="145" spans="1:6">
      <c r="A145" t="s">
        <v>257</v>
      </c>
      <c r="B145" t="s">
        <v>256</v>
      </c>
      <c r="C145" t="s">
        <v>19</v>
      </c>
      <c r="D145" s="5">
        <v>2052.8129880000001</v>
      </c>
      <c r="E145" t="s">
        <v>257</v>
      </c>
      <c r="F145" s="7">
        <v>37.589580097800336</v>
      </c>
    </row>
    <row r="146" spans="1:6">
      <c r="A146" t="s">
        <v>75</v>
      </c>
      <c r="B146" t="s">
        <v>74</v>
      </c>
      <c r="C146" t="s">
        <v>19</v>
      </c>
      <c r="D146" s="5">
        <v>1941.278744</v>
      </c>
      <c r="E146" t="s">
        <v>75</v>
      </c>
      <c r="F146" s="7">
        <v>59.301518559446244</v>
      </c>
    </row>
    <row r="147" spans="1:6">
      <c r="A147" t="s">
        <v>255</v>
      </c>
      <c r="B147" t="s">
        <v>254</v>
      </c>
      <c r="C147" t="s">
        <v>19</v>
      </c>
      <c r="D147" s="5">
        <v>1858.8765000000001</v>
      </c>
      <c r="E147" t="s">
        <v>255</v>
      </c>
      <c r="F147" s="7">
        <v>41.573928498286165</v>
      </c>
    </row>
    <row r="148" spans="1:6">
      <c r="A148" t="s">
        <v>395</v>
      </c>
      <c r="B148" t="s">
        <v>393</v>
      </c>
      <c r="C148" t="s">
        <v>19</v>
      </c>
      <c r="D148" s="5">
        <v>1806.383673</v>
      </c>
      <c r="E148" t="s">
        <v>394</v>
      </c>
      <c r="F148" s="7">
        <v>28.825868454891424</v>
      </c>
    </row>
    <row r="149" spans="1:6">
      <c r="A149" t="s">
        <v>293</v>
      </c>
      <c r="B149" t="s">
        <v>292</v>
      </c>
      <c r="C149" t="s">
        <v>19</v>
      </c>
      <c r="D149" s="5">
        <v>1692.8416609999999</v>
      </c>
      <c r="E149" t="s">
        <v>293</v>
      </c>
      <c r="F149" s="7">
        <v>29.537034413561692</v>
      </c>
    </row>
    <row r="150" spans="1:6">
      <c r="A150" t="s">
        <v>140</v>
      </c>
      <c r="B150" t="s">
        <v>138</v>
      </c>
      <c r="C150" t="s">
        <v>19</v>
      </c>
      <c r="D150" s="5">
        <v>1671.726602</v>
      </c>
      <c r="E150" t="s">
        <v>139</v>
      </c>
      <c r="F150" s="7">
        <v>100</v>
      </c>
    </row>
    <row r="151" spans="1:6">
      <c r="A151" t="s">
        <v>334</v>
      </c>
      <c r="B151" t="s">
        <v>333</v>
      </c>
      <c r="C151" t="s">
        <v>19</v>
      </c>
      <c r="D151" s="5">
        <v>1635.0873120000001</v>
      </c>
      <c r="E151" t="s">
        <v>334</v>
      </c>
      <c r="F151" s="7">
        <v>69.851487894798964</v>
      </c>
    </row>
    <row r="152" spans="1:6">
      <c r="A152" t="s">
        <v>379</v>
      </c>
      <c r="B152" t="s">
        <v>378</v>
      </c>
      <c r="C152" t="s">
        <v>19</v>
      </c>
      <c r="D152" s="5">
        <v>1517.6183880000001</v>
      </c>
      <c r="E152" t="s">
        <v>379</v>
      </c>
      <c r="F152" s="7">
        <v>38.568933383534961</v>
      </c>
    </row>
    <row r="153" spans="1:6">
      <c r="A153" t="s">
        <v>460</v>
      </c>
      <c r="B153" t="s">
        <v>458</v>
      </c>
      <c r="C153" t="s">
        <v>19</v>
      </c>
      <c r="D153" s="5">
        <v>1501.2220789999999</v>
      </c>
      <c r="E153" t="s">
        <v>459</v>
      </c>
      <c r="F153" s="7">
        <v>100</v>
      </c>
    </row>
    <row r="154" spans="1:6">
      <c r="A154" t="s">
        <v>421</v>
      </c>
      <c r="B154" t="s">
        <v>420</v>
      </c>
      <c r="C154" t="s">
        <v>19</v>
      </c>
      <c r="D154" s="5">
        <v>1496.3381340000001</v>
      </c>
      <c r="E154" t="s">
        <v>421</v>
      </c>
      <c r="F154" s="7">
        <v>79.433424299587017</v>
      </c>
    </row>
    <row r="155" spans="1:6">
      <c r="A155" t="s">
        <v>113</v>
      </c>
      <c r="B155" t="s">
        <v>112</v>
      </c>
      <c r="C155" t="s">
        <v>19</v>
      </c>
      <c r="D155" s="5">
        <v>1480.7309740000001</v>
      </c>
      <c r="E155" t="s">
        <v>113</v>
      </c>
      <c r="F155" s="7">
        <v>100</v>
      </c>
    </row>
    <row r="156" spans="1:6">
      <c r="A156" t="s">
        <v>262</v>
      </c>
      <c r="B156" t="s">
        <v>260</v>
      </c>
      <c r="C156" t="s">
        <v>19</v>
      </c>
      <c r="D156" s="5">
        <v>1423.586247</v>
      </c>
      <c r="E156" t="s">
        <v>261</v>
      </c>
      <c r="F156" s="7">
        <v>76.253197917404364</v>
      </c>
    </row>
    <row r="157" spans="1:6">
      <c r="A157" t="s">
        <v>468</v>
      </c>
      <c r="B157" t="s">
        <v>467</v>
      </c>
      <c r="C157" t="s">
        <v>19</v>
      </c>
      <c r="D157" s="5">
        <v>1416.800655</v>
      </c>
      <c r="E157" t="s">
        <v>468</v>
      </c>
      <c r="F157" s="7">
        <v>80.092149546236655</v>
      </c>
    </row>
    <row r="158" spans="1:6">
      <c r="A158" t="s">
        <v>137</v>
      </c>
      <c r="B158" t="s">
        <v>136</v>
      </c>
      <c r="C158" t="s">
        <v>19</v>
      </c>
      <c r="D158" s="5">
        <v>1402.526143</v>
      </c>
      <c r="E158" t="s">
        <v>137</v>
      </c>
      <c r="F158" s="7">
        <v>30.752744636152396</v>
      </c>
    </row>
    <row r="159" spans="1:6">
      <c r="A159" t="s">
        <v>375</v>
      </c>
      <c r="B159" t="s">
        <v>374</v>
      </c>
      <c r="C159" t="s">
        <v>19</v>
      </c>
      <c r="D159" s="5">
        <v>1373.2708210000001</v>
      </c>
      <c r="E159" t="s">
        <v>375</v>
      </c>
      <c r="F159" s="7">
        <v>23.058923327109994</v>
      </c>
    </row>
    <row r="160" spans="1:6">
      <c r="A160" t="s">
        <v>466</v>
      </c>
      <c r="B160" t="s">
        <v>465</v>
      </c>
      <c r="C160" t="s">
        <v>19</v>
      </c>
      <c r="D160" s="5">
        <v>1343.389664</v>
      </c>
      <c r="E160" t="s">
        <v>466</v>
      </c>
      <c r="F160" s="7">
        <v>75.649007014881136</v>
      </c>
    </row>
    <row r="161" spans="1:6">
      <c r="A161" t="s">
        <v>85</v>
      </c>
      <c r="B161" t="s">
        <v>84</v>
      </c>
      <c r="C161" t="s">
        <v>19</v>
      </c>
      <c r="D161" s="5">
        <v>1324.783126</v>
      </c>
      <c r="E161" t="s">
        <v>85</v>
      </c>
      <c r="F161" s="7">
        <v>32.174157448897475</v>
      </c>
    </row>
    <row r="162" spans="1:6">
      <c r="A162" t="s">
        <v>314</v>
      </c>
      <c r="B162" t="s">
        <v>313</v>
      </c>
      <c r="C162" t="s">
        <v>19</v>
      </c>
      <c r="D162" s="5">
        <v>1179.9549930000001</v>
      </c>
      <c r="E162" t="s">
        <v>314</v>
      </c>
      <c r="F162" s="7">
        <v>34.430433461464439</v>
      </c>
    </row>
    <row r="163" spans="1:6">
      <c r="A163" t="s">
        <v>307</v>
      </c>
      <c r="B163" t="s">
        <v>306</v>
      </c>
      <c r="C163" t="s">
        <v>19</v>
      </c>
      <c r="D163" s="5">
        <v>1158.4792809999999</v>
      </c>
      <c r="E163" t="s">
        <v>307</v>
      </c>
      <c r="F163" s="7">
        <v>100</v>
      </c>
    </row>
    <row r="164" spans="1:6">
      <c r="A164" t="s">
        <v>224</v>
      </c>
      <c r="B164" t="s">
        <v>223</v>
      </c>
      <c r="C164" t="s">
        <v>19</v>
      </c>
      <c r="D164" s="5">
        <v>1154.6884190000001</v>
      </c>
      <c r="E164" t="s">
        <v>224</v>
      </c>
      <c r="F164" s="7">
        <v>19.634092326737683</v>
      </c>
    </row>
    <row r="165" spans="1:6">
      <c r="A165" t="s">
        <v>425</v>
      </c>
      <c r="B165" t="s">
        <v>424</v>
      </c>
      <c r="C165" t="s">
        <v>19</v>
      </c>
      <c r="D165" s="5">
        <v>1149.2188900000001</v>
      </c>
      <c r="E165" t="s">
        <v>425</v>
      </c>
      <c r="F165" s="7">
        <v>61.297049161977199</v>
      </c>
    </row>
    <row r="166" spans="1:6">
      <c r="A166" t="s">
        <v>385</v>
      </c>
      <c r="B166" t="s">
        <v>384</v>
      </c>
      <c r="C166" t="s">
        <v>19</v>
      </c>
      <c r="D166" s="5">
        <v>1137.290056</v>
      </c>
      <c r="E166" t="s">
        <v>385</v>
      </c>
      <c r="F166" s="7">
        <v>34.01281509763627</v>
      </c>
    </row>
    <row r="167" spans="1:6">
      <c r="A167" t="s">
        <v>451</v>
      </c>
      <c r="B167" t="s">
        <v>449</v>
      </c>
      <c r="C167" t="s">
        <v>19</v>
      </c>
      <c r="D167" s="5">
        <v>1120.7741699999999</v>
      </c>
      <c r="E167" t="s">
        <v>450</v>
      </c>
      <c r="F167" s="7">
        <v>63.713935036967982</v>
      </c>
    </row>
    <row r="168" spans="1:6">
      <c r="A168" t="s">
        <v>427</v>
      </c>
      <c r="B168" t="s">
        <v>426</v>
      </c>
      <c r="C168" t="s">
        <v>19</v>
      </c>
      <c r="D168" s="5">
        <v>1053.816538</v>
      </c>
      <c r="E168" t="s">
        <v>427</v>
      </c>
      <c r="F168" s="7">
        <v>31.385375991085741</v>
      </c>
    </row>
    <row r="169" spans="1:6">
      <c r="A169" t="s">
        <v>218</v>
      </c>
      <c r="B169" t="s">
        <v>217</v>
      </c>
      <c r="C169" t="s">
        <v>19</v>
      </c>
      <c r="D169" s="5">
        <v>1045.9220749999999</v>
      </c>
      <c r="E169" t="s">
        <v>218</v>
      </c>
      <c r="F169" s="7">
        <v>42.178536258568165</v>
      </c>
    </row>
    <row r="170" spans="1:6">
      <c r="A170" t="s">
        <v>362</v>
      </c>
      <c r="B170" t="s">
        <v>361</v>
      </c>
      <c r="C170" t="s">
        <v>19</v>
      </c>
      <c r="D170" s="5">
        <v>1043.159615</v>
      </c>
      <c r="E170" t="s">
        <v>362</v>
      </c>
      <c r="F170" s="7">
        <v>44.950600838552276</v>
      </c>
    </row>
    <row r="171" spans="1:6">
      <c r="A171" t="s">
        <v>271</v>
      </c>
      <c r="B171" t="s">
        <v>270</v>
      </c>
      <c r="C171" t="s">
        <v>19</v>
      </c>
      <c r="D171" s="5">
        <v>1012.593795</v>
      </c>
      <c r="E171" t="s">
        <v>271</v>
      </c>
      <c r="F171" s="7">
        <v>18.750735044663848</v>
      </c>
    </row>
    <row r="172" spans="1:6">
      <c r="A172" t="s">
        <v>442</v>
      </c>
      <c r="B172" t="s">
        <v>441</v>
      </c>
      <c r="C172" t="s">
        <v>19</v>
      </c>
      <c r="D172" s="5">
        <v>986.09014539999998</v>
      </c>
      <c r="E172" t="s">
        <v>442</v>
      </c>
      <c r="F172" s="7">
        <v>46.177298356740458</v>
      </c>
    </row>
    <row r="173" spans="1:6">
      <c r="A173" t="s">
        <v>289</v>
      </c>
      <c r="B173" t="s">
        <v>288</v>
      </c>
      <c r="C173" t="s">
        <v>19</v>
      </c>
      <c r="D173" s="5">
        <v>910.30037630000004</v>
      </c>
      <c r="E173" t="s">
        <v>289</v>
      </c>
      <c r="F173" s="7">
        <v>25.376536723812137</v>
      </c>
    </row>
    <row r="174" spans="1:6">
      <c r="A174" t="s">
        <v>184</v>
      </c>
      <c r="B174" t="s">
        <v>183</v>
      </c>
      <c r="C174" t="s">
        <v>19</v>
      </c>
      <c r="D174" s="5">
        <v>883.45858859999998</v>
      </c>
      <c r="E174" t="s">
        <v>184</v>
      </c>
      <c r="F174" s="7">
        <v>48.244984553618472</v>
      </c>
    </row>
    <row r="175" spans="1:6">
      <c r="A175" t="s">
        <v>123</v>
      </c>
      <c r="B175" t="s">
        <v>122</v>
      </c>
      <c r="C175" t="s">
        <v>19</v>
      </c>
      <c r="D175" s="5">
        <v>855.99935319999997</v>
      </c>
      <c r="E175" t="s">
        <v>123</v>
      </c>
      <c r="F175" s="7">
        <v>100</v>
      </c>
    </row>
    <row r="176" spans="1:6">
      <c r="A176" t="s">
        <v>220</v>
      </c>
      <c r="B176" t="s">
        <v>219</v>
      </c>
      <c r="C176" t="s">
        <v>19</v>
      </c>
      <c r="D176" s="5">
        <v>785.9102196</v>
      </c>
      <c r="E176" t="s">
        <v>220</v>
      </c>
      <c r="F176" s="7">
        <v>27.867709951716556</v>
      </c>
    </row>
    <row r="177" spans="1:6">
      <c r="A177" t="s">
        <v>105</v>
      </c>
      <c r="B177" t="s">
        <v>104</v>
      </c>
      <c r="C177" t="s">
        <v>19</v>
      </c>
      <c r="D177" s="5">
        <v>764.08262560000003</v>
      </c>
      <c r="E177" t="s">
        <v>105</v>
      </c>
      <c r="F177" s="7">
        <v>30.734401520950307</v>
      </c>
    </row>
    <row r="178" spans="1:6">
      <c r="A178" t="s">
        <v>200</v>
      </c>
      <c r="B178" t="s">
        <v>198</v>
      </c>
      <c r="C178" t="s">
        <v>19</v>
      </c>
      <c r="D178" s="5">
        <v>758.96588880000002</v>
      </c>
      <c r="E178" t="s">
        <v>199</v>
      </c>
      <c r="F178" s="7">
        <v>34.978163662234074</v>
      </c>
    </row>
    <row r="179" spans="1:6">
      <c r="A179" t="s">
        <v>273</v>
      </c>
      <c r="B179" t="s">
        <v>272</v>
      </c>
      <c r="C179" t="s">
        <v>19</v>
      </c>
      <c r="D179" s="5">
        <v>665.10133759999997</v>
      </c>
      <c r="E179" t="s">
        <v>273</v>
      </c>
      <c r="F179" s="7">
        <v>35.027624640343333</v>
      </c>
    </row>
    <row r="180" spans="1:6">
      <c r="A180" t="s">
        <v>305</v>
      </c>
      <c r="B180" t="s">
        <v>304</v>
      </c>
      <c r="C180" t="s">
        <v>19</v>
      </c>
      <c r="D180" s="5">
        <v>605.76348140000005</v>
      </c>
      <c r="E180" t="s">
        <v>305</v>
      </c>
      <c r="F180" s="7">
        <v>100</v>
      </c>
    </row>
    <row r="181" spans="1:6">
      <c r="A181" t="s">
        <v>324</v>
      </c>
      <c r="B181" t="s">
        <v>323</v>
      </c>
      <c r="C181" t="s">
        <v>19</v>
      </c>
      <c r="D181" s="5">
        <v>589.08564330000002</v>
      </c>
      <c r="E181" t="s">
        <v>324</v>
      </c>
      <c r="F181" s="7">
        <v>100</v>
      </c>
    </row>
    <row r="182" spans="1:6">
      <c r="A182" t="s">
        <v>411</v>
      </c>
      <c r="B182" t="s">
        <v>410</v>
      </c>
      <c r="C182" t="s">
        <v>19</v>
      </c>
      <c r="D182" s="5">
        <v>578.38916019999999</v>
      </c>
      <c r="E182" t="s">
        <v>411</v>
      </c>
      <c r="F182" s="7">
        <v>60.474535266596561</v>
      </c>
    </row>
    <row r="183" spans="1:6">
      <c r="A183" t="s">
        <v>158</v>
      </c>
      <c r="B183" t="s">
        <v>156</v>
      </c>
      <c r="C183" t="s">
        <v>19</v>
      </c>
      <c r="D183" s="5">
        <v>554.11761000000001</v>
      </c>
      <c r="E183" t="s">
        <v>157</v>
      </c>
      <c r="F183" s="7">
        <v>84.531400114273197</v>
      </c>
    </row>
    <row r="184" spans="1:6">
      <c r="A184" t="s">
        <v>283</v>
      </c>
      <c r="B184" t="s">
        <v>282</v>
      </c>
      <c r="C184" t="s">
        <v>19</v>
      </c>
      <c r="D184" s="5">
        <v>551.95152350000001</v>
      </c>
      <c r="E184" t="s">
        <v>283</v>
      </c>
      <c r="F184" s="7">
        <v>50.334075265725154</v>
      </c>
    </row>
    <row r="185" spans="1:6">
      <c r="A185" t="s">
        <v>398</v>
      </c>
      <c r="B185" t="s">
        <v>396</v>
      </c>
      <c r="C185" t="s">
        <v>19</v>
      </c>
      <c r="D185" s="5">
        <v>467.26991020000003</v>
      </c>
      <c r="E185" t="s">
        <v>397</v>
      </c>
      <c r="F185" s="7">
        <v>24.72412380114265</v>
      </c>
    </row>
    <row r="186" spans="1:6">
      <c r="A186" t="s">
        <v>281</v>
      </c>
      <c r="B186" t="s">
        <v>280</v>
      </c>
      <c r="C186" t="s">
        <v>19</v>
      </c>
      <c r="D186" s="5">
        <v>453.95780969999998</v>
      </c>
      <c r="E186" t="s">
        <v>281</v>
      </c>
      <c r="F186" s="7">
        <v>33.686427332853732</v>
      </c>
    </row>
    <row r="187" spans="1:6">
      <c r="A187" t="s">
        <v>121</v>
      </c>
      <c r="B187" t="s">
        <v>119</v>
      </c>
      <c r="C187" t="s">
        <v>19</v>
      </c>
      <c r="D187" s="5">
        <v>389.93830800000001</v>
      </c>
      <c r="E187" t="s">
        <v>120</v>
      </c>
      <c r="F187" s="7">
        <v>30.610852770906117</v>
      </c>
    </row>
    <row r="188" spans="1:6">
      <c r="A188" t="s">
        <v>43</v>
      </c>
      <c r="B188" t="s">
        <v>42</v>
      </c>
      <c r="C188" t="s">
        <v>19</v>
      </c>
      <c r="D188" s="5">
        <v>374.37669620000003</v>
      </c>
      <c r="E188" t="s">
        <v>43</v>
      </c>
      <c r="F188" s="7">
        <v>36.049240418981</v>
      </c>
    </row>
    <row r="189" spans="1:6">
      <c r="A189" t="s">
        <v>107</v>
      </c>
      <c r="B189" t="s">
        <v>106</v>
      </c>
      <c r="C189" t="s">
        <v>19</v>
      </c>
      <c r="D189" s="5">
        <v>268.70085740000002</v>
      </c>
      <c r="E189" t="s">
        <v>107</v>
      </c>
      <c r="F189" s="7">
        <v>35.941092375102336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9"/>
  <sheetViews>
    <sheetView workbookViewId="0"/>
  </sheetViews>
  <sheetFormatPr baseColWidth="10" defaultColWidth="8.83203125" defaultRowHeight="14"/>
  <cols>
    <col min="1" max="1" width="12" customWidth="1"/>
    <col min="2" max="2" width="28" customWidth="1"/>
    <col min="3" max="3" width="10" customWidth="1"/>
    <col min="4" max="4" width="24" customWidth="1"/>
    <col min="5" max="5" width="16" customWidth="1"/>
    <col min="6" max="7" width="18" customWidth="1"/>
    <col min="8" max="8" width="20" customWidth="1"/>
    <col min="9" max="9" width="18" customWidth="1"/>
    <col min="10" max="10" width="30" customWidth="1"/>
  </cols>
  <sheetData>
    <row r="1" spans="1:10" ht="32">
      <c r="A1" s="4" t="s">
        <v>470</v>
      </c>
      <c r="B1" s="4" t="s">
        <v>471</v>
      </c>
      <c r="C1" s="4" t="s">
        <v>35</v>
      </c>
      <c r="D1" s="4" t="s">
        <v>39</v>
      </c>
      <c r="E1" s="4" t="s">
        <v>472</v>
      </c>
      <c r="F1" s="4" t="s">
        <v>473</v>
      </c>
      <c r="G1" s="4" t="s">
        <v>474</v>
      </c>
      <c r="H1" s="4" t="s">
        <v>475</v>
      </c>
      <c r="I1" s="4" t="s">
        <v>37</v>
      </c>
      <c r="J1" s="4" t="s">
        <v>38</v>
      </c>
    </row>
    <row r="2" spans="1:10">
      <c r="A2">
        <f t="shared" ref="A2:A33" si="0">ROW()-1</f>
        <v>1</v>
      </c>
      <c r="B2" t="str">
        <f>'GDP Source - Filtered'!E2</f>
        <v>Bermuda</v>
      </c>
      <c r="C2" t="str">
        <f>'GDP Source - Filtered'!B2</f>
        <v>BMU</v>
      </c>
      <c r="D2" s="5">
        <f>'GDP Source - Filtered'!D2</f>
        <v>116513.53660000001</v>
      </c>
      <c r="E2" s="6">
        <f t="shared" ref="E2:E33" si="1">LN(D2)</f>
        <v>11.66576273922931</v>
      </c>
      <c r="F2" s="6">
        <f>Parameters!$B$5</f>
        <v>5.5935987065355954</v>
      </c>
      <c r="G2" s="6">
        <f>Parameters!$B$6</f>
        <v>11.66576273922931</v>
      </c>
      <c r="H2" s="7">
        <f t="shared" ref="H2:H33" si="2">100*(E2-F2)/(G2-F2)</f>
        <v>100</v>
      </c>
      <c r="I2" s="7">
        <f>'GDP Source - Filtered'!F2</f>
        <v>34.836382816405752</v>
      </c>
      <c r="J2" t="str">
        <f>'GDP Source - Filtered'!A2</f>
        <v>Bermuda</v>
      </c>
    </row>
    <row r="3" spans="1:10">
      <c r="A3">
        <f t="shared" si="0"/>
        <v>2</v>
      </c>
      <c r="B3" t="str">
        <f>'GDP Source - Filtered'!E3</f>
        <v>Luxembourg</v>
      </c>
      <c r="C3" t="str">
        <f>'GDP Source - Filtered'!B3</f>
        <v>LUX</v>
      </c>
      <c r="D3" s="5">
        <f>'GDP Source - Filtered'!D3</f>
        <v>104147.1113</v>
      </c>
      <c r="E3" s="6">
        <f t="shared" si="1"/>
        <v>11.553559710346716</v>
      </c>
      <c r="F3" s="6">
        <f>Parameters!$B$5</f>
        <v>5.5935987065355954</v>
      </c>
      <c r="G3" s="6">
        <f>Parameters!$B$6</f>
        <v>11.66576273922931</v>
      </c>
      <c r="H3" s="7">
        <f t="shared" si="2"/>
        <v>98.152173948554918</v>
      </c>
      <c r="I3" s="7">
        <f>'GDP Source - Filtered'!F3</f>
        <v>36.846597661258699</v>
      </c>
      <c r="J3" t="str">
        <f>'GDP Source - Filtered'!A3</f>
        <v>Luxembourg</v>
      </c>
    </row>
    <row r="4" spans="1:10">
      <c r="A4">
        <f t="shared" si="0"/>
        <v>3</v>
      </c>
      <c r="B4" t="str">
        <f>'GDP Source - Filtered'!E4</f>
        <v>Ireland</v>
      </c>
      <c r="C4" t="str">
        <f>'GDP Source - Filtered'!B4</f>
        <v>IRL</v>
      </c>
      <c r="D4" s="5">
        <f>'GDP Source - Filtered'!D4</f>
        <v>94474.987970000002</v>
      </c>
      <c r="E4" s="6">
        <f t="shared" si="1"/>
        <v>11.456090400882408</v>
      </c>
      <c r="F4" s="6">
        <f>Parameters!$B$5</f>
        <v>5.5935987065355954</v>
      </c>
      <c r="G4" s="6">
        <f>Parameters!$B$6</f>
        <v>11.66576273922931</v>
      </c>
      <c r="H4" s="7">
        <f t="shared" si="2"/>
        <v>96.546991530235587</v>
      </c>
      <c r="I4" s="7">
        <f>'GDP Source - Filtered'!F4</f>
        <v>47.624737421971062</v>
      </c>
      <c r="J4" t="str">
        <f>'GDP Source - Filtered'!A4</f>
        <v>Ireland</v>
      </c>
    </row>
    <row r="5" spans="1:10">
      <c r="A5">
        <f t="shared" si="0"/>
        <v>4</v>
      </c>
      <c r="B5" t="str">
        <f>'GDP Source - Filtered'!E5</f>
        <v>Switzerland</v>
      </c>
      <c r="C5" t="str">
        <f>'GDP Source - Filtered'!B5</f>
        <v>CHE</v>
      </c>
      <c r="D5" s="5">
        <f>'GDP Source - Filtered'!D5</f>
        <v>93018.376869999993</v>
      </c>
      <c r="E5" s="6">
        <f t="shared" si="1"/>
        <v>11.440552353367623</v>
      </c>
      <c r="F5" s="6">
        <f>Parameters!$B$5</f>
        <v>5.5935987065355954</v>
      </c>
      <c r="G5" s="6">
        <f>Parameters!$B$6</f>
        <v>11.66576273922931</v>
      </c>
      <c r="H5" s="7">
        <f t="shared" si="2"/>
        <v>96.291101744796265</v>
      </c>
      <c r="I5" s="7">
        <f>'GDP Source - Filtered'!F5</f>
        <v>67.947704206878612</v>
      </c>
      <c r="J5" t="str">
        <f>'GDP Source - Filtered'!A5</f>
        <v>Switzerland</v>
      </c>
    </row>
    <row r="6" spans="1:10">
      <c r="A6">
        <f t="shared" si="0"/>
        <v>5</v>
      </c>
      <c r="B6" t="str">
        <f>'GDP Source - Filtered'!E6</f>
        <v>Cayman Isds</v>
      </c>
      <c r="C6" t="str">
        <f>'GDP Source - Filtered'!B6</f>
        <v>CYM</v>
      </c>
      <c r="D6" s="5">
        <f>'GDP Source - Filtered'!D6</f>
        <v>84381.473140000002</v>
      </c>
      <c r="E6" s="6">
        <f t="shared" si="1"/>
        <v>11.343103143928399</v>
      </c>
      <c r="F6" s="6">
        <f>Parameters!$B$5</f>
        <v>5.5935987065355954</v>
      </c>
      <c r="G6" s="6">
        <f>Parameters!$B$6</f>
        <v>11.66576273922931</v>
      </c>
      <c r="H6" s="7">
        <f t="shared" si="2"/>
        <v>94.68625034561569</v>
      </c>
      <c r="I6" s="7">
        <f>'GDP Source - Filtered'!F6</f>
        <v>28.712950135578364</v>
      </c>
      <c r="J6" t="str">
        <f>'GDP Source - Filtered'!A6</f>
        <v>Cayman Islands</v>
      </c>
    </row>
    <row r="7" spans="1:10">
      <c r="A7">
        <f t="shared" si="0"/>
        <v>6</v>
      </c>
      <c r="B7" t="str">
        <f>'GDP Source - Filtered'!E7</f>
        <v>Norway</v>
      </c>
      <c r="C7" t="str">
        <f>'GDP Source - Filtered'!B7</f>
        <v>NOR</v>
      </c>
      <c r="D7" s="5">
        <f>'GDP Source - Filtered'!D7</f>
        <v>83487.133230000007</v>
      </c>
      <c r="E7" s="6">
        <f t="shared" si="1"/>
        <v>11.332447805911499</v>
      </c>
      <c r="F7" s="6">
        <f>Parameters!$B$5</f>
        <v>5.5935987065355954</v>
      </c>
      <c r="G7" s="6">
        <f>Parameters!$B$6</f>
        <v>11.66576273922931</v>
      </c>
      <c r="H7" s="7">
        <f t="shared" si="2"/>
        <v>94.510771917175191</v>
      </c>
      <c r="I7" s="7">
        <f>'GDP Source - Filtered'!F7</f>
        <v>100</v>
      </c>
      <c r="J7" t="str">
        <f>'GDP Source - Filtered'!A7</f>
        <v>Norway</v>
      </c>
    </row>
    <row r="8" spans="1:10">
      <c r="A8">
        <f t="shared" si="0"/>
        <v>7</v>
      </c>
      <c r="B8" t="str">
        <f>'GDP Source - Filtered'!E8</f>
        <v>Singapore</v>
      </c>
      <c r="C8" t="str">
        <f>'GDP Source - Filtered'!B8</f>
        <v>SGP</v>
      </c>
      <c r="D8" s="5">
        <f>'GDP Source - Filtered'!D8</f>
        <v>68129.696039999995</v>
      </c>
      <c r="E8" s="6">
        <f t="shared" si="1"/>
        <v>11.129168462287044</v>
      </c>
      <c r="F8" s="6">
        <f>Parameters!$B$5</f>
        <v>5.5935987065355954</v>
      </c>
      <c r="G8" s="6">
        <f>Parameters!$B$6</f>
        <v>11.66576273922931</v>
      </c>
      <c r="H8" s="7">
        <f t="shared" si="2"/>
        <v>91.16304707756349</v>
      </c>
      <c r="I8" s="7">
        <f>'GDP Source - Filtered'!F8</f>
        <v>42.292658252378587</v>
      </c>
      <c r="J8" t="str">
        <f>'GDP Source - Filtered'!A8</f>
        <v>Singapore</v>
      </c>
    </row>
    <row r="9" spans="1:10">
      <c r="A9">
        <f t="shared" si="0"/>
        <v>8</v>
      </c>
      <c r="B9" t="str">
        <f>'GDP Source - Filtered'!E9</f>
        <v>USA</v>
      </c>
      <c r="C9" t="str">
        <f>'GDP Source - Filtered'!B9</f>
        <v>USA</v>
      </c>
      <c r="D9" s="5">
        <f>'GDP Source - Filtered'!D9</f>
        <v>66856.513170000006</v>
      </c>
      <c r="E9" s="6">
        <f t="shared" si="1"/>
        <v>11.11030400740268</v>
      </c>
      <c r="F9" s="6">
        <f>Parameters!$B$5</f>
        <v>5.5935987065355954</v>
      </c>
      <c r="G9" s="6">
        <f>Parameters!$B$6</f>
        <v>11.66576273922931</v>
      </c>
      <c r="H9" s="7">
        <f t="shared" si="2"/>
        <v>90.852376041952567</v>
      </c>
      <c r="I9" s="7">
        <f>'GDP Source - Filtered'!F9</f>
        <v>100</v>
      </c>
      <c r="J9" t="str">
        <f>'GDP Source - Filtered'!A9</f>
        <v>United States</v>
      </c>
    </row>
    <row r="10" spans="1:10">
      <c r="A10">
        <f t="shared" si="0"/>
        <v>9</v>
      </c>
      <c r="B10" t="str">
        <f>'GDP Source - Filtered'!E10</f>
        <v>China, Macao SAR</v>
      </c>
      <c r="C10" t="str">
        <f>'GDP Source - Filtered'!B10</f>
        <v>MAC</v>
      </c>
      <c r="D10" s="5">
        <f>'GDP Source - Filtered'!D10</f>
        <v>63377.293210000003</v>
      </c>
      <c r="E10" s="6">
        <f t="shared" si="1"/>
        <v>11.056860925012007</v>
      </c>
      <c r="F10" s="6">
        <f>Parameters!$B$5</f>
        <v>5.5935987065355954</v>
      </c>
      <c r="G10" s="6">
        <f>Parameters!$B$6</f>
        <v>11.66576273922931</v>
      </c>
      <c r="H10" s="7">
        <f t="shared" si="2"/>
        <v>89.972243652528874</v>
      </c>
      <c r="I10" s="7">
        <f>'GDP Source - Filtered'!F10</f>
        <v>26.096174002018579</v>
      </c>
      <c r="J10" t="str">
        <f>'GDP Source - Filtered'!A10</f>
        <v>Macao SAR, China</v>
      </c>
    </row>
    <row r="11" spans="1:10">
      <c r="A11">
        <f t="shared" si="0"/>
        <v>10</v>
      </c>
      <c r="B11" t="str">
        <f>'GDP Source - Filtered'!E11</f>
        <v>Qatar</v>
      </c>
      <c r="C11" t="str">
        <f>'GDP Source - Filtered'!B11</f>
        <v>QAT</v>
      </c>
      <c r="D11" s="5">
        <f>'GDP Source - Filtered'!D11</f>
        <v>62395.311329999997</v>
      </c>
      <c r="E11" s="6">
        <f t="shared" si="1"/>
        <v>11.04124541259214</v>
      </c>
      <c r="F11" s="6">
        <f>Parameters!$B$5</f>
        <v>5.5935987065355954</v>
      </c>
      <c r="G11" s="6">
        <f>Parameters!$B$6</f>
        <v>11.66576273922931</v>
      </c>
      <c r="H11" s="7">
        <f t="shared" si="2"/>
        <v>89.7150781290715</v>
      </c>
      <c r="I11" s="7">
        <f>'GDP Source - Filtered'!F11</f>
        <v>100</v>
      </c>
      <c r="J11" t="str">
        <f>'GDP Source - Filtered'!A11</f>
        <v>Qatar</v>
      </c>
    </row>
    <row r="12" spans="1:10">
      <c r="A12">
        <f t="shared" si="0"/>
        <v>11</v>
      </c>
      <c r="B12" t="str">
        <f>'GDP Source - Filtered'!E12</f>
        <v>Australia</v>
      </c>
      <c r="C12" t="str">
        <f>'GDP Source - Filtered'!B12</f>
        <v>AUS</v>
      </c>
      <c r="D12" s="5">
        <f>'GDP Source - Filtered'!D12</f>
        <v>61486.381479999996</v>
      </c>
      <c r="E12" s="6">
        <f t="shared" si="1"/>
        <v>11.026570989923703</v>
      </c>
      <c r="F12" s="6">
        <f>Parameters!$B$5</f>
        <v>5.5935987065355954</v>
      </c>
      <c r="G12" s="6">
        <f>Parameters!$B$6</f>
        <v>11.66576273922931</v>
      </c>
      <c r="H12" s="7">
        <f t="shared" si="2"/>
        <v>89.473411030003902</v>
      </c>
      <c r="I12" s="7">
        <f>'GDP Source - Filtered'!F12</f>
        <v>100</v>
      </c>
      <c r="J12" t="str">
        <f>'GDP Source - Filtered'!A12</f>
        <v>Australia</v>
      </c>
    </row>
    <row r="13" spans="1:10">
      <c r="A13">
        <f t="shared" si="0"/>
        <v>12</v>
      </c>
      <c r="B13" t="str">
        <f>'GDP Source - Filtered'!E13</f>
        <v>Denmark</v>
      </c>
      <c r="C13" t="str">
        <f>'GDP Source - Filtered'!B13</f>
        <v>DNK</v>
      </c>
      <c r="D13" s="5">
        <f>'GDP Source - Filtered'!D13</f>
        <v>60772.862430000001</v>
      </c>
      <c r="E13" s="6">
        <f t="shared" si="1"/>
        <v>11.014898626702349</v>
      </c>
      <c r="F13" s="6">
        <f>Parameters!$B$5</f>
        <v>5.5935987065355954</v>
      </c>
      <c r="G13" s="6">
        <f>Parameters!$B$6</f>
        <v>11.66576273922931</v>
      </c>
      <c r="H13" s="7">
        <f t="shared" si="2"/>
        <v>89.281183627079542</v>
      </c>
      <c r="I13" s="7">
        <f>'GDP Source - Filtered'!F13</f>
        <v>76.616861061597646</v>
      </c>
      <c r="J13" t="str">
        <f>'GDP Source - Filtered'!A13</f>
        <v>Denmark</v>
      </c>
    </row>
    <row r="14" spans="1:10">
      <c r="A14">
        <f t="shared" si="0"/>
        <v>13</v>
      </c>
      <c r="B14" t="str">
        <f>'GDP Source - Filtered'!E14</f>
        <v>Iceland</v>
      </c>
      <c r="C14" t="str">
        <f>'GDP Source - Filtered'!B14</f>
        <v>ISL</v>
      </c>
      <c r="D14" s="5">
        <f>'GDP Source - Filtered'!D14</f>
        <v>59053.564839999999</v>
      </c>
      <c r="E14" s="6">
        <f t="shared" si="1"/>
        <v>10.986200189659376</v>
      </c>
      <c r="F14" s="6">
        <f>Parameters!$B$5</f>
        <v>5.5935987065355954</v>
      </c>
      <c r="G14" s="6">
        <f>Parameters!$B$6</f>
        <v>11.66576273922931</v>
      </c>
      <c r="H14" s="7">
        <f t="shared" si="2"/>
        <v>88.808560738625701</v>
      </c>
      <c r="I14" s="7">
        <f>'GDP Source - Filtered'!F14</f>
        <v>74.613727846371333</v>
      </c>
      <c r="J14" t="str">
        <f>'GDP Source - Filtered'!A14</f>
        <v>Iceland</v>
      </c>
    </row>
    <row r="15" spans="1:10">
      <c r="A15">
        <f t="shared" si="0"/>
        <v>14</v>
      </c>
      <c r="B15" t="str">
        <f>'GDP Source - Filtered'!E15</f>
        <v>Sweden</v>
      </c>
      <c r="C15" t="str">
        <f>'GDP Source - Filtered'!B15</f>
        <v>SWE</v>
      </c>
      <c r="D15" s="5">
        <f>'GDP Source - Filtered'!D15</f>
        <v>54316.261930000001</v>
      </c>
      <c r="E15" s="6">
        <f t="shared" si="1"/>
        <v>10.902578944143018</v>
      </c>
      <c r="F15" s="6">
        <f>Parameters!$B$5</f>
        <v>5.5935987065355954</v>
      </c>
      <c r="G15" s="6">
        <f>Parameters!$B$6</f>
        <v>11.66576273922931</v>
      </c>
      <c r="H15" s="7">
        <f t="shared" si="2"/>
        <v>87.431436453673498</v>
      </c>
      <c r="I15" s="7">
        <f>'GDP Source - Filtered'!F15</f>
        <v>79.468760117547916</v>
      </c>
      <c r="J15" t="str">
        <f>'GDP Source - Filtered'!A15</f>
        <v>Sweden</v>
      </c>
    </row>
    <row r="16" spans="1:10">
      <c r="A16">
        <f t="shared" si="0"/>
        <v>15</v>
      </c>
      <c r="B16" t="str">
        <f>'GDP Source - Filtered'!E16</f>
        <v>Netherlands</v>
      </c>
      <c r="C16" t="str">
        <f>'GDP Source - Filtered'!B16</f>
        <v>NLD</v>
      </c>
      <c r="D16" s="5">
        <f>'GDP Source - Filtered'!D16</f>
        <v>51174.899729999997</v>
      </c>
      <c r="E16" s="6">
        <f t="shared" si="1"/>
        <v>10.843004451172417</v>
      </c>
      <c r="F16" s="6">
        <f>Parameters!$B$5</f>
        <v>5.5935987065355954</v>
      </c>
      <c r="G16" s="6">
        <f>Parameters!$B$6</f>
        <v>11.66576273922931</v>
      </c>
      <c r="H16" s="7">
        <f t="shared" si="2"/>
        <v>86.450328356958053</v>
      </c>
      <c r="I16" s="7">
        <f>'GDP Source - Filtered'!F16</f>
        <v>52.900836224594983</v>
      </c>
      <c r="J16" t="str">
        <f>'GDP Source - Filtered'!A16</f>
        <v>Netherlands</v>
      </c>
    </row>
    <row r="17" spans="1:10">
      <c r="A17">
        <f t="shared" si="0"/>
        <v>16</v>
      </c>
      <c r="B17" t="str">
        <f>'GDP Source - Filtered'!E17</f>
        <v>United Kingdom</v>
      </c>
      <c r="C17" t="str">
        <f>'GDP Source - Filtered'!B17</f>
        <v>GBR</v>
      </c>
      <c r="D17" s="5">
        <f>'GDP Source - Filtered'!D17</f>
        <v>47900.968009999997</v>
      </c>
      <c r="E17" s="6">
        <f t="shared" si="1"/>
        <v>10.776890992171843</v>
      </c>
      <c r="F17" s="6">
        <f>Parameters!$B$5</f>
        <v>5.5935987065355954</v>
      </c>
      <c r="G17" s="6">
        <f>Parameters!$B$6</f>
        <v>11.66576273922931</v>
      </c>
      <c r="H17" s="7">
        <f t="shared" si="2"/>
        <v>85.361532687990504</v>
      </c>
      <c r="I17" s="7">
        <f>'GDP Source - Filtered'!F17</f>
        <v>72.379487573380487</v>
      </c>
      <c r="J17" t="str">
        <f>'GDP Source - Filtered'!A17</f>
        <v>United Kingdom</v>
      </c>
    </row>
    <row r="18" spans="1:10">
      <c r="A18">
        <f t="shared" si="0"/>
        <v>17</v>
      </c>
      <c r="B18" t="str">
        <f>'GDP Source - Filtered'!E18</f>
        <v>Austria</v>
      </c>
      <c r="C18" t="str">
        <f>'GDP Source - Filtered'!B18</f>
        <v>AUT</v>
      </c>
      <c r="D18" s="5">
        <f>'GDP Source - Filtered'!D18</f>
        <v>45958.82501</v>
      </c>
      <c r="E18" s="6">
        <f t="shared" si="1"/>
        <v>10.735501166144157</v>
      </c>
      <c r="F18" s="6">
        <f>Parameters!$B$5</f>
        <v>5.5935987065355954</v>
      </c>
      <c r="G18" s="6">
        <f>Parameters!$B$6</f>
        <v>11.66576273922931</v>
      </c>
      <c r="H18" s="7">
        <f t="shared" si="2"/>
        <v>84.679900475737426</v>
      </c>
      <c r="I18" s="7">
        <f>'GDP Source - Filtered'!F18</f>
        <v>54.875246241835185</v>
      </c>
      <c r="J18" t="str">
        <f>'GDP Source - Filtered'!A18</f>
        <v>Austria</v>
      </c>
    </row>
    <row r="19" spans="1:10">
      <c r="A19">
        <f t="shared" si="0"/>
        <v>18</v>
      </c>
      <c r="B19" t="str">
        <f>'GDP Source - Filtered'!E19</f>
        <v>Finland</v>
      </c>
      <c r="C19" t="str">
        <f>'GDP Source - Filtered'!B19</f>
        <v>FIN</v>
      </c>
      <c r="D19" s="5">
        <f>'GDP Source - Filtered'!D19</f>
        <v>45075.168489999996</v>
      </c>
      <c r="E19" s="6">
        <f t="shared" si="1"/>
        <v>10.716086786056767</v>
      </c>
      <c r="F19" s="6">
        <f>Parameters!$B$5</f>
        <v>5.5935987065355954</v>
      </c>
      <c r="G19" s="6">
        <f>Parameters!$B$6</f>
        <v>11.66576273922931</v>
      </c>
      <c r="H19" s="7">
        <f t="shared" si="2"/>
        <v>84.360172945603878</v>
      </c>
      <c r="I19" s="7">
        <f>'GDP Source - Filtered'!F19</f>
        <v>71.706223445736001</v>
      </c>
      <c r="J19" t="str">
        <f>'GDP Source - Filtered'!A19</f>
        <v>Finland</v>
      </c>
    </row>
    <row r="20" spans="1:10">
      <c r="A20">
        <f t="shared" si="0"/>
        <v>19</v>
      </c>
      <c r="B20" t="str">
        <f>'GDP Source - Filtered'!E20</f>
        <v>Canada</v>
      </c>
      <c r="C20" t="str">
        <f>'GDP Source - Filtered'!B20</f>
        <v>CAN</v>
      </c>
      <c r="D20" s="5">
        <f>'GDP Source - Filtered'!D20</f>
        <v>45061.386460000002</v>
      </c>
      <c r="E20" s="6">
        <f t="shared" si="1"/>
        <v>10.7157809827095</v>
      </c>
      <c r="F20" s="6">
        <f>Parameters!$B$5</f>
        <v>5.5935987065355954</v>
      </c>
      <c r="G20" s="6">
        <f>Parameters!$B$6</f>
        <v>11.66576273922931</v>
      </c>
      <c r="H20" s="7">
        <f t="shared" si="2"/>
        <v>84.355136794643172</v>
      </c>
      <c r="I20" s="7">
        <f>'GDP Source - Filtered'!F20</f>
        <v>100</v>
      </c>
      <c r="J20" t="str">
        <f>'GDP Source - Filtered'!A20</f>
        <v>Canada</v>
      </c>
    </row>
    <row r="21" spans="1:10">
      <c r="A21">
        <f t="shared" si="0"/>
        <v>20</v>
      </c>
      <c r="B21" t="str">
        <f>'GDP Source - Filtered'!E21</f>
        <v>Belgium</v>
      </c>
      <c r="C21" t="str">
        <f>'GDP Source - Filtered'!B21</f>
        <v>BEL</v>
      </c>
      <c r="D21" s="5">
        <f>'GDP Source - Filtered'!D21</f>
        <v>45019.698969999998</v>
      </c>
      <c r="E21" s="6">
        <f t="shared" si="1"/>
        <v>10.714855427854628</v>
      </c>
      <c r="F21" s="6">
        <f>Parameters!$B$5</f>
        <v>5.5935987065355954</v>
      </c>
      <c r="G21" s="6">
        <f>Parameters!$B$6</f>
        <v>11.66576273922931</v>
      </c>
      <c r="H21" s="7">
        <f t="shared" si="2"/>
        <v>84.339894208147015</v>
      </c>
      <c r="I21" s="7">
        <f>'GDP Source - Filtered'!F21</f>
        <v>47.417999674012314</v>
      </c>
      <c r="J21" t="str">
        <f>'GDP Source - Filtered'!A21</f>
        <v>Belgium</v>
      </c>
    </row>
    <row r="22" spans="1:10">
      <c r="A22">
        <f t="shared" si="0"/>
        <v>21</v>
      </c>
      <c r="B22" t="str">
        <f>'GDP Source - Filtered'!E22</f>
        <v>China, Hong Kong SAR</v>
      </c>
      <c r="C22" t="str">
        <f>'GDP Source - Filtered'!B22</f>
        <v>HKG</v>
      </c>
      <c r="D22" s="5">
        <f>'GDP Source - Filtered'!D22</f>
        <v>44734.436529999999</v>
      </c>
      <c r="E22" s="6">
        <f t="shared" si="1"/>
        <v>10.708498876171957</v>
      </c>
      <c r="F22" s="6">
        <f>Parameters!$B$5</f>
        <v>5.5935987065355954</v>
      </c>
      <c r="G22" s="6">
        <f>Parameters!$B$6</f>
        <v>11.66576273922931</v>
      </c>
      <c r="H22" s="7">
        <f t="shared" si="2"/>
        <v>84.235210743595573</v>
      </c>
      <c r="I22" s="7">
        <f>'GDP Source - Filtered'!F22</f>
        <v>35.265238892870165</v>
      </c>
      <c r="J22" t="str">
        <f>'GDP Source - Filtered'!A22</f>
        <v>Hong Kong SAR, China</v>
      </c>
    </row>
    <row r="23" spans="1:10">
      <c r="A23">
        <f t="shared" si="0"/>
        <v>22</v>
      </c>
      <c r="B23" t="str">
        <f>'GDP Source - Filtered'!E23</f>
        <v>Germany</v>
      </c>
      <c r="C23" t="str">
        <f>'GDP Source - Filtered'!B23</f>
        <v>DEU</v>
      </c>
      <c r="D23" s="5">
        <f>'GDP Source - Filtered'!D23</f>
        <v>44027.763160000002</v>
      </c>
      <c r="E23" s="6">
        <f t="shared" si="1"/>
        <v>10.692575694824734</v>
      </c>
      <c r="F23" s="6">
        <f>Parameters!$B$5</f>
        <v>5.5935987065355954</v>
      </c>
      <c r="G23" s="6">
        <f>Parameters!$B$6</f>
        <v>11.66576273922931</v>
      </c>
      <c r="H23" s="7">
        <f t="shared" si="2"/>
        <v>83.97297834569774</v>
      </c>
      <c r="I23" s="7">
        <f>'GDP Source - Filtered'!F23</f>
        <v>56.000510188943849</v>
      </c>
      <c r="J23" t="str">
        <f>'GDP Source - Filtered'!A23</f>
        <v>Germany</v>
      </c>
    </row>
    <row r="24" spans="1:10">
      <c r="A24">
        <f t="shared" si="0"/>
        <v>23</v>
      </c>
      <c r="B24" t="str">
        <f>'GDP Source - Filtered'!E24</f>
        <v>Israel</v>
      </c>
      <c r="C24" t="str">
        <f>'GDP Source - Filtered'!B24</f>
        <v>ISR</v>
      </c>
      <c r="D24" s="5">
        <f>'GDP Source - Filtered'!D24</f>
        <v>41882.047469999998</v>
      </c>
      <c r="E24" s="6">
        <f t="shared" si="1"/>
        <v>10.642612552757928</v>
      </c>
      <c r="F24" s="6">
        <f>Parameters!$B$5</f>
        <v>5.5935987065355954</v>
      </c>
      <c r="G24" s="6">
        <f>Parameters!$B$6</f>
        <v>11.66576273922931</v>
      </c>
      <c r="H24" s="7">
        <f t="shared" si="2"/>
        <v>83.150155678230334</v>
      </c>
      <c r="I24" s="7">
        <f>'GDP Source - Filtered'!F24</f>
        <v>99.586824766822673</v>
      </c>
      <c r="J24" t="str">
        <f>'GDP Source - Filtered'!A24</f>
        <v>Israel</v>
      </c>
    </row>
    <row r="25" spans="1:10">
      <c r="A25">
        <f t="shared" si="0"/>
        <v>24</v>
      </c>
      <c r="B25" t="str">
        <f>'GDP Source - Filtered'!E25</f>
        <v>United Arab Emirates</v>
      </c>
      <c r="C25" t="str">
        <f>'GDP Source - Filtered'!B25</f>
        <v>ARE</v>
      </c>
      <c r="D25" s="5">
        <f>'GDP Source - Filtered'!D25</f>
        <v>41605.413869999997</v>
      </c>
      <c r="E25" s="6">
        <f t="shared" si="1"/>
        <v>10.635985578887505</v>
      </c>
      <c r="F25" s="6">
        <f>Parameters!$B$5</f>
        <v>5.5935987065355954</v>
      </c>
      <c r="G25" s="6">
        <f>Parameters!$B$6</f>
        <v>11.66576273922931</v>
      </c>
      <c r="H25" s="7">
        <f t="shared" si="2"/>
        <v>83.041018740645271</v>
      </c>
      <c r="I25" s="7">
        <f>'GDP Source - Filtered'!F25</f>
        <v>100</v>
      </c>
      <c r="J25" t="str">
        <f>'GDP Source - Filtered'!A25</f>
        <v>United Arab Emirates</v>
      </c>
    </row>
    <row r="26" spans="1:10">
      <c r="A26">
        <f t="shared" si="0"/>
        <v>25</v>
      </c>
      <c r="B26" t="str">
        <f>'GDP Source - Filtered'!E26</f>
        <v>New Zealand</v>
      </c>
      <c r="C26" t="str">
        <f>'GDP Source - Filtered'!B26</f>
        <v>NZL</v>
      </c>
      <c r="D26" s="5">
        <f>'GDP Source - Filtered'!D26</f>
        <v>41415.467060000003</v>
      </c>
      <c r="E26" s="6">
        <f t="shared" si="1"/>
        <v>10.631409690525214</v>
      </c>
      <c r="F26" s="6">
        <f>Parameters!$B$5</f>
        <v>5.5935987065355954</v>
      </c>
      <c r="G26" s="6">
        <f>Parameters!$B$6</f>
        <v>11.66576273922931</v>
      </c>
      <c r="H26" s="7">
        <f t="shared" si="2"/>
        <v>82.965660296149153</v>
      </c>
      <c r="I26" s="7">
        <f>'GDP Source - Filtered'!F26</f>
        <v>70.67769960376215</v>
      </c>
      <c r="J26" t="str">
        <f>'GDP Source - Filtered'!A26</f>
        <v>New Zealand</v>
      </c>
    </row>
    <row r="27" spans="1:10">
      <c r="A27">
        <f t="shared" si="0"/>
        <v>26</v>
      </c>
      <c r="B27" t="str">
        <f>'GDP Source - Filtered'!E27</f>
        <v>France</v>
      </c>
      <c r="C27" t="str">
        <f>'GDP Source - Filtered'!B27</f>
        <v>FRA</v>
      </c>
      <c r="D27" s="5">
        <f>'GDP Source - Filtered'!D27</f>
        <v>39683.395349999999</v>
      </c>
      <c r="E27" s="6">
        <f t="shared" si="1"/>
        <v>10.588688126034421</v>
      </c>
      <c r="F27" s="6">
        <f>Parameters!$B$5</f>
        <v>5.5935987065355954</v>
      </c>
      <c r="G27" s="6">
        <f>Parameters!$B$6</f>
        <v>11.66576273922931</v>
      </c>
      <c r="H27" s="7">
        <f t="shared" si="2"/>
        <v>82.262096224744454</v>
      </c>
      <c r="I27" s="7">
        <f>'GDP Source - Filtered'!F27</f>
        <v>69.60267677428385</v>
      </c>
      <c r="J27" t="str">
        <f>'GDP Source - Filtered'!A27</f>
        <v>France</v>
      </c>
    </row>
    <row r="28" spans="1:10">
      <c r="A28">
        <f t="shared" si="0"/>
        <v>27</v>
      </c>
      <c r="B28" t="str">
        <f>'GDP Source - Filtered'!E28</f>
        <v>Japan</v>
      </c>
      <c r="C28" t="str">
        <f>'GDP Source - Filtered'!B28</f>
        <v>JPN</v>
      </c>
      <c r="D28" s="5">
        <f>'GDP Source - Filtered'!D28</f>
        <v>37976.637179999998</v>
      </c>
      <c r="E28" s="6">
        <f t="shared" si="1"/>
        <v>10.544726438582076</v>
      </c>
      <c r="F28" s="6">
        <f>Parameters!$B$5</f>
        <v>5.5935987065355954</v>
      </c>
      <c r="G28" s="6">
        <f>Parameters!$B$6</f>
        <v>11.66576273922931</v>
      </c>
      <c r="H28" s="7">
        <f t="shared" si="2"/>
        <v>81.538109072624593</v>
      </c>
      <c r="I28" s="7">
        <f>'GDP Source - Filtered'!F28</f>
        <v>48.353474018031861</v>
      </c>
      <c r="J28" t="str">
        <f>'GDP Source - Filtered'!A28</f>
        <v>Japan</v>
      </c>
    </row>
    <row r="29" spans="1:10">
      <c r="A29">
        <f t="shared" si="0"/>
        <v>28</v>
      </c>
      <c r="B29" t="str">
        <f>'GDP Source - Filtered'!E29</f>
        <v>Rep. of Korea</v>
      </c>
      <c r="C29" t="str">
        <f>'GDP Source - Filtered'!B29</f>
        <v>KOR</v>
      </c>
      <c r="D29" s="5">
        <f>'GDP Source - Filtered'!D29</f>
        <v>37048.426399999997</v>
      </c>
      <c r="E29" s="6">
        <f t="shared" si="1"/>
        <v>10.519981157487575</v>
      </c>
      <c r="F29" s="6">
        <f>Parameters!$B$5</f>
        <v>5.5935987065355954</v>
      </c>
      <c r="G29" s="6">
        <f>Parameters!$B$6</f>
        <v>11.66576273922931</v>
      </c>
      <c r="H29" s="7">
        <f t="shared" si="2"/>
        <v>81.130589101799231</v>
      </c>
      <c r="I29" s="7">
        <f>'GDP Source - Filtered'!F29</f>
        <v>50.026525019786639</v>
      </c>
      <c r="J29" t="str">
        <f>'GDP Source - Filtered'!A29</f>
        <v>Korea, Rep.</v>
      </c>
    </row>
    <row r="30" spans="1:10">
      <c r="A30">
        <f t="shared" si="0"/>
        <v>29</v>
      </c>
      <c r="B30" t="str">
        <f>'GDP Source - Filtered'!E30</f>
        <v>Italy</v>
      </c>
      <c r="C30" t="str">
        <f>'GDP Source - Filtered'!B30</f>
        <v>ITA</v>
      </c>
      <c r="D30" s="5">
        <f>'GDP Source - Filtered'!D30</f>
        <v>34508.123520000001</v>
      </c>
      <c r="E30" s="6">
        <f t="shared" si="1"/>
        <v>10.448950039649899</v>
      </c>
      <c r="F30" s="6">
        <f>Parameters!$B$5</f>
        <v>5.5935987065355954</v>
      </c>
      <c r="G30" s="6">
        <f>Parameters!$B$6</f>
        <v>11.66576273922931</v>
      </c>
      <c r="H30" s="7">
        <f t="shared" si="2"/>
        <v>79.960806509378642</v>
      </c>
      <c r="I30" s="7">
        <f>'GDP Source - Filtered'!F30</f>
        <v>47.572926550387919</v>
      </c>
      <c r="J30" t="str">
        <f>'GDP Source - Filtered'!A30</f>
        <v>Italy</v>
      </c>
    </row>
    <row r="31" spans="1:10">
      <c r="A31">
        <f t="shared" si="0"/>
        <v>30</v>
      </c>
      <c r="B31" t="str">
        <f>'GDP Source - Filtered'!E31</f>
        <v>Malta</v>
      </c>
      <c r="C31" t="str">
        <f>'GDP Source - Filtered'!B31</f>
        <v>MLT</v>
      </c>
      <c r="D31" s="5">
        <f>'GDP Source - Filtered'!D31</f>
        <v>34501.789270000001</v>
      </c>
      <c r="E31" s="6">
        <f t="shared" si="1"/>
        <v>10.448766464573168</v>
      </c>
      <c r="F31" s="6">
        <f>Parameters!$B$5</f>
        <v>5.5935987065355954</v>
      </c>
      <c r="G31" s="6">
        <f>Parameters!$B$6</f>
        <v>11.66576273922931</v>
      </c>
      <c r="H31" s="7">
        <f t="shared" si="2"/>
        <v>79.957783286097083</v>
      </c>
      <c r="I31" s="7">
        <f>'GDP Source - Filtered'!F31</f>
        <v>39.410903298159361</v>
      </c>
      <c r="J31" t="str">
        <f>'GDP Source - Filtered'!A31</f>
        <v>Malta</v>
      </c>
    </row>
    <row r="32" spans="1:10">
      <c r="A32">
        <f t="shared" si="0"/>
        <v>31</v>
      </c>
      <c r="B32" t="str">
        <f>'GDP Source - Filtered'!E32</f>
        <v>Bahamas</v>
      </c>
      <c r="C32" t="str">
        <f>'GDP Source - Filtered'!B32</f>
        <v>BHS</v>
      </c>
      <c r="D32" s="5">
        <f>'GDP Source - Filtered'!D32</f>
        <v>33968.203220000003</v>
      </c>
      <c r="E32" s="6">
        <f t="shared" si="1"/>
        <v>10.433180166614731</v>
      </c>
      <c r="F32" s="6">
        <f>Parameters!$B$5</f>
        <v>5.5935987065355954</v>
      </c>
      <c r="G32" s="6">
        <f>Parameters!$B$6</f>
        <v>11.66576273922931</v>
      </c>
      <c r="H32" s="7">
        <f t="shared" si="2"/>
        <v>79.70109888372393</v>
      </c>
      <c r="I32" s="7">
        <f>'GDP Source - Filtered'!F32</f>
        <v>34.293393015419504</v>
      </c>
      <c r="J32" t="str">
        <f>'GDP Source - Filtered'!A32</f>
        <v>Bahamas, The</v>
      </c>
    </row>
    <row r="33" spans="1:10">
      <c r="A33">
        <f t="shared" si="0"/>
        <v>32</v>
      </c>
      <c r="B33" t="str">
        <f>'GDP Source - Filtered'!E33</f>
        <v>Aruba</v>
      </c>
      <c r="C33" t="str">
        <f>'GDP Source - Filtered'!B33</f>
        <v>ABW</v>
      </c>
      <c r="D33" s="5">
        <f>'GDP Source - Filtered'!D33</f>
        <v>33938.954180000001</v>
      </c>
      <c r="E33" s="6">
        <f t="shared" si="1"/>
        <v>10.432318724524423</v>
      </c>
      <c r="F33" s="6">
        <f>Parameters!$B$5</f>
        <v>5.5935987065355954</v>
      </c>
      <c r="G33" s="6">
        <f>Parameters!$B$6</f>
        <v>11.66576273922931</v>
      </c>
      <c r="H33" s="7">
        <f t="shared" si="2"/>
        <v>79.686912144273705</v>
      </c>
      <c r="I33" s="7">
        <f>'GDP Source - Filtered'!F33</f>
        <v>28.305691376839871</v>
      </c>
      <c r="J33" t="str">
        <f>'GDP Source - Filtered'!A33</f>
        <v>Aruba</v>
      </c>
    </row>
    <row r="34" spans="1:10">
      <c r="A34">
        <f t="shared" ref="A34:A65" si="3">ROW()-1</f>
        <v>33</v>
      </c>
      <c r="B34" t="str">
        <f>'GDP Source - Filtered'!E34</f>
        <v>Guyana</v>
      </c>
      <c r="C34" t="str">
        <f>'GDP Source - Filtered'!B34</f>
        <v>GUY</v>
      </c>
      <c r="D34" s="5">
        <f>'GDP Source - Filtered'!D34</f>
        <v>33034.94887</v>
      </c>
      <c r="E34" s="6">
        <f t="shared" ref="E34:E65" si="4">LN(D34)</f>
        <v>10.405321336710404</v>
      </c>
      <c r="F34" s="6">
        <f>Parameters!$B$5</f>
        <v>5.5935987065355954</v>
      </c>
      <c r="G34" s="6">
        <f>Parameters!$B$6</f>
        <v>11.66576273922931</v>
      </c>
      <c r="H34" s="7">
        <f t="shared" ref="H34:H65" si="5">100*(E34-F34)/(G34-F34)</f>
        <v>79.242303143781299</v>
      </c>
      <c r="I34" s="7">
        <f>'GDP Source - Filtered'!F34</f>
        <v>24.425881384786475</v>
      </c>
      <c r="J34" t="str">
        <f>'GDP Source - Filtered'!A34</f>
        <v>Guyana</v>
      </c>
    </row>
    <row r="35" spans="1:10">
      <c r="A35">
        <f t="shared" si="3"/>
        <v>34</v>
      </c>
      <c r="B35" t="str">
        <f>'GDP Source - Filtered'!E35</f>
        <v>Cyprus</v>
      </c>
      <c r="C35" t="str">
        <f>'GDP Source - Filtered'!B35</f>
        <v>CYP</v>
      </c>
      <c r="D35" s="5">
        <f>'GDP Source - Filtered'!D35</f>
        <v>32757.541020000001</v>
      </c>
      <c r="E35" s="6">
        <f t="shared" si="4"/>
        <v>10.39688847471027</v>
      </c>
      <c r="F35" s="6">
        <f>Parameters!$B$5</f>
        <v>5.5935987065355954</v>
      </c>
      <c r="G35" s="6">
        <f>Parameters!$B$6</f>
        <v>11.66576273922931</v>
      </c>
      <c r="H35" s="7">
        <f t="shared" si="5"/>
        <v>79.103425769014578</v>
      </c>
      <c r="I35" s="7">
        <f>'GDP Source - Filtered'!F35</f>
        <v>37.013462625084671</v>
      </c>
      <c r="J35" t="str">
        <f>'GDP Source - Filtered'!A35</f>
        <v>Cyprus</v>
      </c>
    </row>
    <row r="36" spans="1:10">
      <c r="A36">
        <f t="shared" si="3"/>
        <v>35</v>
      </c>
      <c r="B36" t="str">
        <f>'GDP Source - Filtered'!E36</f>
        <v>Brunei Darussalam</v>
      </c>
      <c r="C36" t="str">
        <f>'GDP Source - Filtered'!B36</f>
        <v>BRN</v>
      </c>
      <c r="D36" s="5">
        <f>'GDP Source - Filtered'!D36</f>
        <v>29563.868279999999</v>
      </c>
      <c r="E36" s="6">
        <f t="shared" si="4"/>
        <v>10.294308228476099</v>
      </c>
      <c r="F36" s="6">
        <f>Parameters!$B$5</f>
        <v>5.5935987065355954</v>
      </c>
      <c r="G36" s="6">
        <f>Parameters!$B$6</f>
        <v>11.66576273922931</v>
      </c>
      <c r="H36" s="7">
        <f t="shared" si="5"/>
        <v>77.414073411570698</v>
      </c>
      <c r="I36" s="7">
        <f>'GDP Source - Filtered'!F36</f>
        <v>100</v>
      </c>
      <c r="J36" t="str">
        <f>'GDP Source - Filtered'!A36</f>
        <v>Brunei Darussalam</v>
      </c>
    </row>
    <row r="37" spans="1:10">
      <c r="A37">
        <f t="shared" si="3"/>
        <v>36</v>
      </c>
      <c r="B37" t="str">
        <f>'GDP Source - Filtered'!E37</f>
        <v>Spain</v>
      </c>
      <c r="C37" t="str">
        <f>'GDP Source - Filtered'!B37</f>
        <v>ESP</v>
      </c>
      <c r="D37" s="5">
        <f>'GDP Source - Filtered'!D37</f>
        <v>29245.219249999998</v>
      </c>
      <c r="E37" s="6">
        <f t="shared" si="4"/>
        <v>10.28347139485706</v>
      </c>
      <c r="F37" s="6">
        <f>Parameters!$B$5</f>
        <v>5.5935987065355954</v>
      </c>
      <c r="G37" s="6">
        <f>Parameters!$B$6</f>
        <v>11.66576273922931</v>
      </c>
      <c r="H37" s="7">
        <f t="shared" si="5"/>
        <v>77.235606005869997</v>
      </c>
      <c r="I37" s="7">
        <f>'GDP Source - Filtered'!F37</f>
        <v>51.585257957805034</v>
      </c>
      <c r="J37" t="str">
        <f>'GDP Source - Filtered'!A37</f>
        <v>Spain</v>
      </c>
    </row>
    <row r="38" spans="1:10">
      <c r="A38">
        <f t="shared" si="3"/>
        <v>37</v>
      </c>
      <c r="B38" t="str">
        <f>'GDP Source - Filtered'!E38</f>
        <v>Slovenia</v>
      </c>
      <c r="C38" t="str">
        <f>'GDP Source - Filtered'!B38</f>
        <v>SVN</v>
      </c>
      <c r="D38" s="5">
        <f>'GDP Source - Filtered'!D38</f>
        <v>26134.627199999999</v>
      </c>
      <c r="E38" s="6">
        <f t="shared" si="4"/>
        <v>10.171016426648881</v>
      </c>
      <c r="F38" s="6">
        <f>Parameters!$B$5</f>
        <v>5.5935987065355954</v>
      </c>
      <c r="G38" s="6">
        <f>Parameters!$B$6</f>
        <v>11.66576273922931</v>
      </c>
      <c r="H38" s="7">
        <f t="shared" si="5"/>
        <v>75.383630868131632</v>
      </c>
      <c r="I38" s="7">
        <f>'GDP Source - Filtered'!F38</f>
        <v>67.049511684791185</v>
      </c>
      <c r="J38" t="str">
        <f>'GDP Source - Filtered'!A38</f>
        <v>Slovenia</v>
      </c>
    </row>
    <row r="39" spans="1:10">
      <c r="A39">
        <f t="shared" si="3"/>
        <v>38</v>
      </c>
      <c r="B39" t="str">
        <f>'GDP Source - Filtered'!E39</f>
        <v>Bahrain</v>
      </c>
      <c r="C39" t="str">
        <f>'GDP Source - Filtered'!B39</f>
        <v>BHR</v>
      </c>
      <c r="D39" s="5">
        <f>'GDP Source - Filtered'!D39</f>
        <v>25886.239320000001</v>
      </c>
      <c r="E39" s="6">
        <f t="shared" si="4"/>
        <v>10.161466806111466</v>
      </c>
      <c r="F39" s="6">
        <f>Parameters!$B$5</f>
        <v>5.5935987065355954</v>
      </c>
      <c r="G39" s="6">
        <f>Parameters!$B$6</f>
        <v>11.66576273922931</v>
      </c>
      <c r="H39" s="7">
        <f t="shared" si="5"/>
        <v>75.226362051182718</v>
      </c>
      <c r="I39" s="7">
        <f>'GDP Source - Filtered'!F39</f>
        <v>100</v>
      </c>
      <c r="J39" t="str">
        <f>'GDP Source - Filtered'!A39</f>
        <v>Bahrain</v>
      </c>
    </row>
    <row r="40" spans="1:10">
      <c r="A40">
        <f t="shared" si="3"/>
        <v>39</v>
      </c>
      <c r="B40" t="str">
        <f>'GDP Source - Filtered'!E40</f>
        <v>Saudi Arabia</v>
      </c>
      <c r="C40" t="str">
        <f>'GDP Source - Filtered'!B40</f>
        <v>SAU</v>
      </c>
      <c r="D40" s="5">
        <f>'GDP Source - Filtered'!D40</f>
        <v>25123.012210000001</v>
      </c>
      <c r="E40" s="6">
        <f t="shared" si="4"/>
        <v>10.13153952621164</v>
      </c>
      <c r="F40" s="6">
        <f>Parameters!$B$5</f>
        <v>5.5935987065355954</v>
      </c>
      <c r="G40" s="6">
        <f>Parameters!$B$6</f>
        <v>11.66576273922931</v>
      </c>
      <c r="H40" s="7">
        <f t="shared" si="5"/>
        <v>74.733501849470585</v>
      </c>
      <c r="I40" s="7">
        <f>'GDP Source - Filtered'!F40</f>
        <v>100</v>
      </c>
      <c r="J40" t="str">
        <f>'GDP Source - Filtered'!A40</f>
        <v>Saudi Arabia</v>
      </c>
    </row>
    <row r="41" spans="1:10">
      <c r="A41">
        <f t="shared" si="3"/>
        <v>40</v>
      </c>
      <c r="B41" t="str">
        <f>'GDP Source - Filtered'!E41</f>
        <v>Kuwait</v>
      </c>
      <c r="C41" t="str">
        <f>'GDP Source - Filtered'!B41</f>
        <v>KWT</v>
      </c>
      <c r="D41" s="5">
        <f>'GDP Source - Filtered'!D41</f>
        <v>24140.325799999999</v>
      </c>
      <c r="E41" s="6">
        <f t="shared" si="4"/>
        <v>10.091638990832196</v>
      </c>
      <c r="F41" s="6">
        <f>Parameters!$B$5</f>
        <v>5.5935987065355954</v>
      </c>
      <c r="G41" s="6">
        <f>Parameters!$B$6</f>
        <v>11.66576273922931</v>
      </c>
      <c r="H41" s="7">
        <f t="shared" si="5"/>
        <v>74.076396159232118</v>
      </c>
      <c r="I41" s="7">
        <f>'GDP Source - Filtered'!F41</f>
        <v>100</v>
      </c>
      <c r="J41" t="str">
        <f>'GDP Source - Filtered'!A41</f>
        <v>Kuwait</v>
      </c>
    </row>
    <row r="42" spans="1:10">
      <c r="A42">
        <f t="shared" si="3"/>
        <v>41</v>
      </c>
      <c r="B42" t="str">
        <f>'GDP Source - Filtered'!E42</f>
        <v>Portugal</v>
      </c>
      <c r="C42" t="str">
        <f>'GDP Source - Filtered'!B42</f>
        <v>PRT</v>
      </c>
      <c r="D42" s="5">
        <f>'GDP Source - Filtered'!D42</f>
        <v>22663.993129999999</v>
      </c>
      <c r="E42" s="6">
        <f t="shared" si="4"/>
        <v>10.02853273838641</v>
      </c>
      <c r="F42" s="6">
        <f>Parameters!$B$5</f>
        <v>5.5935987065355954</v>
      </c>
      <c r="G42" s="6">
        <f>Parameters!$B$6</f>
        <v>11.66576273922931</v>
      </c>
      <c r="H42" s="7">
        <f t="shared" si="5"/>
        <v>73.037124952031363</v>
      </c>
      <c r="I42" s="7">
        <f>'GDP Source - Filtered'!F42</f>
        <v>50.736641399071466</v>
      </c>
      <c r="J42" t="str">
        <f>'GDP Source - Filtered'!A42</f>
        <v>Portugal</v>
      </c>
    </row>
    <row r="43" spans="1:10">
      <c r="A43">
        <f t="shared" si="3"/>
        <v>42</v>
      </c>
      <c r="B43" t="str">
        <f>'GDP Source - Filtered'!E43</f>
        <v>Barbados</v>
      </c>
      <c r="C43" t="str">
        <f>'GDP Source - Filtered'!B43</f>
        <v>BRB</v>
      </c>
      <c r="D43" s="5">
        <f>'GDP Source - Filtered'!D43</f>
        <v>22421.533360000001</v>
      </c>
      <c r="E43" s="6">
        <f t="shared" si="4"/>
        <v>10.017777086794181</v>
      </c>
      <c r="F43" s="6">
        <f>Parameters!$B$5</f>
        <v>5.5935987065355954</v>
      </c>
      <c r="G43" s="6">
        <f>Parameters!$B$6</f>
        <v>11.66576273922931</v>
      </c>
      <c r="H43" s="7">
        <f t="shared" si="5"/>
        <v>72.859994500114752</v>
      </c>
      <c r="I43" s="7">
        <f>'GDP Source - Filtered'!F43</f>
        <v>42.742087226061834</v>
      </c>
      <c r="J43" t="str">
        <f>'GDP Source - Filtered'!A43</f>
        <v>Barbados</v>
      </c>
    </row>
    <row r="44" spans="1:10">
      <c r="A44">
        <f t="shared" si="3"/>
        <v>43</v>
      </c>
      <c r="B44" t="str">
        <f>'GDP Source - Filtered'!E44</f>
        <v>Saint Kitts and Nevis</v>
      </c>
      <c r="C44" t="str">
        <f>'GDP Source - Filtered'!B44</f>
        <v>KNA</v>
      </c>
      <c r="D44" s="5">
        <f>'GDP Source - Filtered'!D44</f>
        <v>21692.24064</v>
      </c>
      <c r="E44" s="6">
        <f t="shared" si="4"/>
        <v>9.9847099013901062</v>
      </c>
      <c r="F44" s="6">
        <f>Parameters!$B$5</f>
        <v>5.5935987065355954</v>
      </c>
      <c r="G44" s="6">
        <f>Parameters!$B$6</f>
        <v>11.66576273922931</v>
      </c>
      <c r="H44" s="7">
        <f t="shared" si="5"/>
        <v>72.315424471603734</v>
      </c>
      <c r="I44" s="7">
        <f>'GDP Source - Filtered'!F44</f>
        <v>36.431146854682062</v>
      </c>
      <c r="J44" t="str">
        <f>'GDP Source - Filtered'!A44</f>
        <v>St. Kitts and Nevis</v>
      </c>
    </row>
    <row r="45" spans="1:10">
      <c r="A45">
        <f t="shared" si="3"/>
        <v>44</v>
      </c>
      <c r="B45" t="str">
        <f>'GDP Source - Filtered'!E45</f>
        <v>Greece</v>
      </c>
      <c r="C45" t="str">
        <f>'GDP Source - Filtered'!B45</f>
        <v>GRC</v>
      </c>
      <c r="D45" s="5">
        <f>'GDP Source - Filtered'!D45</f>
        <v>21494.68561</v>
      </c>
      <c r="E45" s="6">
        <f t="shared" si="4"/>
        <v>9.9755610026312809</v>
      </c>
      <c r="F45" s="6">
        <f>Parameters!$B$5</f>
        <v>5.5935987065355954</v>
      </c>
      <c r="G45" s="6">
        <f>Parameters!$B$6</f>
        <v>11.66576273922931</v>
      </c>
      <c r="H45" s="7">
        <f t="shared" si="5"/>
        <v>72.164754978659118</v>
      </c>
      <c r="I45" s="7">
        <f>'GDP Source - Filtered'!F45</f>
        <v>43.766517554706098</v>
      </c>
      <c r="J45" t="str">
        <f>'GDP Source - Filtered'!A45</f>
        <v>Greece</v>
      </c>
    </row>
    <row r="46" spans="1:10">
      <c r="A46">
        <f t="shared" si="3"/>
        <v>45</v>
      </c>
      <c r="B46" t="str">
        <f>'GDP Source - Filtered'!E46</f>
        <v>French Polynesia</v>
      </c>
      <c r="C46" t="str">
        <f>'GDP Source - Filtered'!B46</f>
        <v>PYF</v>
      </c>
      <c r="D46" s="5">
        <f>'GDP Source - Filtered'!D46</f>
        <v>20846.651409999999</v>
      </c>
      <c r="E46" s="6">
        <f t="shared" si="4"/>
        <v>9.9449486104918403</v>
      </c>
      <c r="F46" s="6">
        <f>Parameters!$B$5</f>
        <v>5.5935987065355954</v>
      </c>
      <c r="G46" s="6">
        <f>Parameters!$B$6</f>
        <v>11.66576273922931</v>
      </c>
      <c r="H46" s="7">
        <f t="shared" si="5"/>
        <v>71.660611942097233</v>
      </c>
      <c r="I46" s="7">
        <f>'GDP Source - Filtered'!F46</f>
        <v>40.321336659238796</v>
      </c>
      <c r="J46" t="str">
        <f>'GDP Source - Filtered'!A46</f>
        <v>French Polynesia</v>
      </c>
    </row>
    <row r="47" spans="1:10">
      <c r="A47">
        <f t="shared" si="3"/>
        <v>46</v>
      </c>
      <c r="B47" t="str">
        <f>'GDP Source - Filtered'!E47</f>
        <v>Czechia</v>
      </c>
      <c r="C47" t="str">
        <f>'GDP Source - Filtered'!B47</f>
        <v>CZE</v>
      </c>
      <c r="D47" s="5">
        <f>'GDP Source - Filtered'!D47</f>
        <v>20449.113590000001</v>
      </c>
      <c r="E47" s="6">
        <f t="shared" si="4"/>
        <v>9.9256948152992415</v>
      </c>
      <c r="F47" s="6">
        <f>Parameters!$B$5</f>
        <v>5.5935987065355954</v>
      </c>
      <c r="G47" s="6">
        <f>Parameters!$B$6</f>
        <v>11.66576273922931</v>
      </c>
      <c r="H47" s="7">
        <f t="shared" si="5"/>
        <v>71.34352901928861</v>
      </c>
      <c r="I47" s="7">
        <f>'GDP Source - Filtered'!F47</f>
        <v>70.740625354621287</v>
      </c>
      <c r="J47" t="str">
        <f>'GDP Source - Filtered'!A47</f>
        <v>Czechia</v>
      </c>
    </row>
    <row r="48" spans="1:10">
      <c r="A48">
        <f t="shared" si="3"/>
        <v>47</v>
      </c>
      <c r="B48" t="str">
        <f>'GDP Source - Filtered'!E48</f>
        <v>Estonia</v>
      </c>
      <c r="C48" t="str">
        <f>'GDP Source - Filtered'!B48</f>
        <v>EST</v>
      </c>
      <c r="D48" s="5">
        <f>'GDP Source - Filtered'!D48</f>
        <v>20078.139759999998</v>
      </c>
      <c r="E48" s="6">
        <f t="shared" si="4"/>
        <v>9.9073869280799194</v>
      </c>
      <c r="F48" s="6">
        <f>Parameters!$B$5</f>
        <v>5.5935987065355954</v>
      </c>
      <c r="G48" s="6">
        <f>Parameters!$B$6</f>
        <v>11.66576273922931</v>
      </c>
      <c r="H48" s="7">
        <f t="shared" si="5"/>
        <v>71.042023870205867</v>
      </c>
      <c r="I48" s="7">
        <f>'GDP Source - Filtered'!F48</f>
        <v>51.720573188082696</v>
      </c>
      <c r="J48" t="str">
        <f>'GDP Source - Filtered'!A48</f>
        <v>Estonia</v>
      </c>
    </row>
    <row r="49" spans="1:10">
      <c r="A49">
        <f t="shared" si="3"/>
        <v>48</v>
      </c>
      <c r="B49" t="str">
        <f>'GDP Source - Filtered'!E49</f>
        <v>Slovakia</v>
      </c>
      <c r="C49" t="str">
        <f>'GDP Source - Filtered'!B49</f>
        <v>SVK</v>
      </c>
      <c r="D49" s="5">
        <f>'GDP Source - Filtered'!D49</f>
        <v>19776.175810000001</v>
      </c>
      <c r="E49" s="6">
        <f t="shared" si="4"/>
        <v>9.8922332502866706</v>
      </c>
      <c r="F49" s="6">
        <f>Parameters!$B$5</f>
        <v>5.5935987065355954</v>
      </c>
      <c r="G49" s="6">
        <f>Parameters!$B$6</f>
        <v>11.66576273922931</v>
      </c>
      <c r="H49" s="7">
        <f t="shared" si="5"/>
        <v>70.792464113393336</v>
      </c>
      <c r="I49" s="7">
        <f>'GDP Source - Filtered'!F49</f>
        <v>60.510612587423275</v>
      </c>
      <c r="J49" t="str">
        <f>'GDP Source - Filtered'!A49</f>
        <v>Slovak Republic</v>
      </c>
    </row>
    <row r="50" spans="1:10">
      <c r="A50">
        <f t="shared" si="3"/>
        <v>49</v>
      </c>
      <c r="B50" t="str">
        <f>'GDP Source - Filtered'!E50</f>
        <v>Lithuania</v>
      </c>
      <c r="C50" t="str">
        <f>'GDP Source - Filtered'!B50</f>
        <v>LTU</v>
      </c>
      <c r="D50" s="5">
        <f>'GDP Source - Filtered'!D50</f>
        <v>19205.415229999999</v>
      </c>
      <c r="E50" s="6">
        <f t="shared" si="4"/>
        <v>9.8629475614783253</v>
      </c>
      <c r="F50" s="6">
        <f>Parameters!$B$5</f>
        <v>5.5935987065355954</v>
      </c>
      <c r="G50" s="6">
        <f>Parameters!$B$6</f>
        <v>11.66576273922931</v>
      </c>
      <c r="H50" s="7">
        <f t="shared" si="5"/>
        <v>70.310170014441695</v>
      </c>
      <c r="I50" s="7">
        <f>'GDP Source - Filtered'!F50</f>
        <v>46.602407792091206</v>
      </c>
      <c r="J50" t="str">
        <f>'GDP Source - Filtered'!A50</f>
        <v>Lithuania</v>
      </c>
    </row>
    <row r="51" spans="1:10">
      <c r="A51">
        <f t="shared" si="3"/>
        <v>50</v>
      </c>
      <c r="B51" t="str">
        <f>'GDP Source - Filtered'!E51</f>
        <v>Uruguay</v>
      </c>
      <c r="C51" t="str">
        <f>'GDP Source - Filtered'!B51</f>
        <v>URY</v>
      </c>
      <c r="D51" s="5">
        <f>'GDP Source - Filtered'!D51</f>
        <v>19024.120429999999</v>
      </c>
      <c r="E51" s="6">
        <f t="shared" si="4"/>
        <v>9.8534629493352526</v>
      </c>
      <c r="F51" s="6">
        <f>Parameters!$B$5</f>
        <v>5.5935987065355954</v>
      </c>
      <c r="G51" s="6">
        <f>Parameters!$B$6</f>
        <v>11.66576273922931</v>
      </c>
      <c r="H51" s="7">
        <f t="shared" si="5"/>
        <v>70.153971794301313</v>
      </c>
      <c r="I51" s="7">
        <f>'GDP Source - Filtered'!F51</f>
        <v>59.752580783514439</v>
      </c>
      <c r="J51" t="str">
        <f>'GDP Source - Filtered'!A51</f>
        <v>Uruguay</v>
      </c>
    </row>
    <row r="52" spans="1:10">
      <c r="A52">
        <f t="shared" si="3"/>
        <v>51</v>
      </c>
      <c r="B52" t="str">
        <f>'GDP Source - Filtered'!E52</f>
        <v>Antigua and Barbuda</v>
      </c>
      <c r="C52" t="str">
        <f>'GDP Source - Filtered'!B52</f>
        <v>ATG</v>
      </c>
      <c r="D52" s="5">
        <f>'GDP Source - Filtered'!D52</f>
        <v>18304.58368</v>
      </c>
      <c r="E52" s="6">
        <f t="shared" si="4"/>
        <v>9.814906781782998</v>
      </c>
      <c r="F52" s="6">
        <f>Parameters!$B$5</f>
        <v>5.5935987065355954</v>
      </c>
      <c r="G52" s="6">
        <f>Parameters!$B$6</f>
        <v>11.66576273922931</v>
      </c>
      <c r="H52" s="7">
        <f t="shared" si="5"/>
        <v>69.519005951075385</v>
      </c>
      <c r="I52" s="7">
        <f>'GDP Source - Filtered'!F52</f>
        <v>32.820940208028425</v>
      </c>
      <c r="J52" t="str">
        <f>'GDP Source - Filtered'!A52</f>
        <v>Antigua and Barbuda</v>
      </c>
    </row>
    <row r="53" spans="1:10">
      <c r="A53">
        <f t="shared" si="3"/>
        <v>52</v>
      </c>
      <c r="B53" t="str">
        <f>'GDP Source - Filtered'!E53</f>
        <v>Poland</v>
      </c>
      <c r="C53" t="str">
        <f>'GDP Source - Filtered'!B53</f>
        <v>POL</v>
      </c>
      <c r="D53" s="5">
        <f>'GDP Source - Filtered'!D53</f>
        <v>18000.50346</v>
      </c>
      <c r="E53" s="6">
        <f t="shared" si="4"/>
        <v>9.7981550064871481</v>
      </c>
      <c r="F53" s="6">
        <f>Parameters!$B$5</f>
        <v>5.5935987065355954</v>
      </c>
      <c r="G53" s="6">
        <f>Parameters!$B$6</f>
        <v>11.66576273922931</v>
      </c>
      <c r="H53" s="7">
        <f t="shared" si="5"/>
        <v>69.243127776413857</v>
      </c>
      <c r="I53" s="7">
        <f>'GDP Source - Filtered'!F53</f>
        <v>67.408475396492733</v>
      </c>
      <c r="J53" t="str">
        <f>'GDP Source - Filtered'!A53</f>
        <v>Poland</v>
      </c>
    </row>
    <row r="54" spans="1:10">
      <c r="A54">
        <f t="shared" si="3"/>
        <v>53</v>
      </c>
      <c r="B54" t="str">
        <f>'GDP Source - Filtered'!E54</f>
        <v>Croatia</v>
      </c>
      <c r="C54" t="str">
        <f>'GDP Source - Filtered'!B54</f>
        <v>HRV</v>
      </c>
      <c r="D54" s="5">
        <f>'GDP Source - Filtered'!D54</f>
        <v>17854.326260000002</v>
      </c>
      <c r="E54" s="6">
        <f t="shared" si="4"/>
        <v>9.7900011253485282</v>
      </c>
      <c r="F54" s="6">
        <f>Parameters!$B$5</f>
        <v>5.5935987065355954</v>
      </c>
      <c r="G54" s="6">
        <f>Parameters!$B$6</f>
        <v>11.66576273922931</v>
      </c>
      <c r="H54" s="7">
        <f t="shared" si="5"/>
        <v>69.10884482399824</v>
      </c>
      <c r="I54" s="7">
        <f>'GDP Source - Filtered'!F54</f>
        <v>55.534354280732813</v>
      </c>
      <c r="J54" t="str">
        <f>'GDP Source - Filtered'!A54</f>
        <v>Croatia</v>
      </c>
    </row>
    <row r="55" spans="1:10">
      <c r="A55">
        <f t="shared" si="3"/>
        <v>54</v>
      </c>
      <c r="B55" t="str">
        <f>'GDP Source - Filtered'!E55</f>
        <v>Oman</v>
      </c>
      <c r="C55" t="str">
        <f>'GDP Source - Filtered'!B55</f>
        <v>OMN</v>
      </c>
      <c r="D55" s="5">
        <f>'GDP Source - Filtered'!D55</f>
        <v>17347.291130000001</v>
      </c>
      <c r="E55" s="6">
        <f t="shared" si="4"/>
        <v>9.7611916423495835</v>
      </c>
      <c r="F55" s="6">
        <f>Parameters!$B$5</f>
        <v>5.5935987065355954</v>
      </c>
      <c r="G55" s="6">
        <f>Parameters!$B$6</f>
        <v>11.66576273922931</v>
      </c>
      <c r="H55" s="7">
        <f t="shared" si="5"/>
        <v>68.634393164856149</v>
      </c>
      <c r="I55" s="7">
        <f>'GDP Source - Filtered'!F55</f>
        <v>100</v>
      </c>
      <c r="J55" t="str">
        <f>'GDP Source - Filtered'!A55</f>
        <v>Oman</v>
      </c>
    </row>
    <row r="56" spans="1:10">
      <c r="A56">
        <f t="shared" si="3"/>
        <v>55</v>
      </c>
      <c r="B56" t="str">
        <f>'GDP Source - Filtered'!E56</f>
        <v>Panama</v>
      </c>
      <c r="C56" t="str">
        <f>'GDP Source - Filtered'!B56</f>
        <v>PAN</v>
      </c>
      <c r="D56" s="5">
        <f>'GDP Source - Filtered'!D56</f>
        <v>17122.71688</v>
      </c>
      <c r="E56" s="6">
        <f t="shared" si="4"/>
        <v>9.7481613333664949</v>
      </c>
      <c r="F56" s="6">
        <f>Parameters!$B$5</f>
        <v>5.5935987065355954</v>
      </c>
      <c r="G56" s="6">
        <f>Parameters!$B$6</f>
        <v>11.66576273922931</v>
      </c>
      <c r="H56" s="7">
        <f t="shared" si="5"/>
        <v>68.419802305437159</v>
      </c>
      <c r="I56" s="7">
        <f>'GDP Source - Filtered'!F56</f>
        <v>39.80709613701643</v>
      </c>
      <c r="J56" t="str">
        <f>'GDP Source - Filtered'!A56</f>
        <v>Panama</v>
      </c>
    </row>
    <row r="57" spans="1:10">
      <c r="A57">
        <f t="shared" si="3"/>
        <v>56</v>
      </c>
      <c r="B57" t="str">
        <f>'GDP Source - Filtered'!E57</f>
        <v>Seychelles</v>
      </c>
      <c r="C57" t="str">
        <f>'GDP Source - Filtered'!B57</f>
        <v>SYC</v>
      </c>
      <c r="D57" s="5">
        <f>'GDP Source - Filtered'!D57</f>
        <v>16612.637490000001</v>
      </c>
      <c r="E57" s="6">
        <f t="shared" si="4"/>
        <v>9.717918979285221</v>
      </c>
      <c r="F57" s="6">
        <f>Parameters!$B$5</f>
        <v>5.5935987065355954</v>
      </c>
      <c r="G57" s="6">
        <f>Parameters!$B$6</f>
        <v>11.66576273922931</v>
      </c>
      <c r="H57" s="7">
        <f t="shared" si="5"/>
        <v>67.921753275166509</v>
      </c>
      <c r="I57" s="7">
        <f>'GDP Source - Filtered'!F57</f>
        <v>26.722658799334155</v>
      </c>
      <c r="J57" t="str">
        <f>'GDP Source - Filtered'!A57</f>
        <v>Seychelles</v>
      </c>
    </row>
    <row r="58" spans="1:10">
      <c r="A58">
        <f t="shared" si="3"/>
        <v>57</v>
      </c>
      <c r="B58" t="str">
        <f>'GDP Source - Filtered'!E58</f>
        <v>Hungary</v>
      </c>
      <c r="C58" t="str">
        <f>'GDP Source - Filtered'!B58</f>
        <v>HUN</v>
      </c>
      <c r="D58" s="5">
        <f>'GDP Source - Filtered'!D58</f>
        <v>16543.104909999998</v>
      </c>
      <c r="E58" s="6">
        <f t="shared" si="4"/>
        <v>9.7137246722419892</v>
      </c>
      <c r="F58" s="6">
        <f>Parameters!$B$5</f>
        <v>5.5935987065355954</v>
      </c>
      <c r="G58" s="6">
        <f>Parameters!$B$6</f>
        <v>11.66576273922931</v>
      </c>
      <c r="H58" s="7">
        <f t="shared" si="5"/>
        <v>67.85267893823081</v>
      </c>
      <c r="I58" s="7">
        <f>'GDP Source - Filtered'!F58</f>
        <v>61.298709624090883</v>
      </c>
      <c r="J58" t="str">
        <f>'GDP Source - Filtered'!A58</f>
        <v>Hungary</v>
      </c>
    </row>
    <row r="59" spans="1:10">
      <c r="A59">
        <f t="shared" si="3"/>
        <v>58</v>
      </c>
      <c r="B59" t="str">
        <f>'GDP Source - Filtered'!E59</f>
        <v>Latvia</v>
      </c>
      <c r="C59" t="str">
        <f>'GDP Source - Filtered'!B59</f>
        <v>LVA</v>
      </c>
      <c r="D59" s="5">
        <f>'GDP Source - Filtered'!D59</f>
        <v>16376.256520000001</v>
      </c>
      <c r="E59" s="6">
        <f t="shared" si="4"/>
        <v>9.7035877916053472</v>
      </c>
      <c r="F59" s="6">
        <f>Parameters!$B$5</f>
        <v>5.5935987065355954</v>
      </c>
      <c r="G59" s="6">
        <f>Parameters!$B$6</f>
        <v>11.66576273922931</v>
      </c>
      <c r="H59" s="7">
        <f t="shared" si="5"/>
        <v>67.685738773537238</v>
      </c>
      <c r="I59" s="7">
        <f>'GDP Source - Filtered'!F59</f>
        <v>48.963402610925968</v>
      </c>
      <c r="J59" t="str">
        <f>'GDP Source - Filtered'!A59</f>
        <v>Latvia</v>
      </c>
    </row>
    <row r="60" spans="1:10">
      <c r="A60">
        <f t="shared" si="3"/>
        <v>59</v>
      </c>
      <c r="B60" t="str">
        <f>'GDP Source - Filtered'!E60</f>
        <v>Trinidad and Tobago</v>
      </c>
      <c r="C60" t="str">
        <f>'GDP Source - Filtered'!B60</f>
        <v>TTO</v>
      </c>
      <c r="D60" s="5">
        <f>'GDP Source - Filtered'!D60</f>
        <v>16312.48496</v>
      </c>
      <c r="E60" s="6">
        <f t="shared" si="4"/>
        <v>9.6996860420722868</v>
      </c>
      <c r="F60" s="6">
        <f>Parameters!$B$5</f>
        <v>5.5935987065355954</v>
      </c>
      <c r="G60" s="6">
        <f>Parameters!$B$6</f>
        <v>11.66576273922931</v>
      </c>
      <c r="H60" s="7">
        <f t="shared" si="5"/>
        <v>67.621482447257961</v>
      </c>
      <c r="I60" s="7">
        <f>'GDP Source - Filtered'!F60</f>
        <v>100</v>
      </c>
      <c r="J60" t="str">
        <f>'GDP Source - Filtered'!A60</f>
        <v>Trinidad and Tobago</v>
      </c>
    </row>
    <row r="61" spans="1:10">
      <c r="A61">
        <f t="shared" si="3"/>
        <v>60</v>
      </c>
      <c r="B61" t="str">
        <f>'GDP Source - Filtered'!E61</f>
        <v>TÃ¼rkiye</v>
      </c>
      <c r="C61" t="str">
        <f>'GDP Source - Filtered'!B61</f>
        <v>TUR</v>
      </c>
      <c r="D61" s="5">
        <f>'GDP Source - Filtered'!D61</f>
        <v>15395.027889999999</v>
      </c>
      <c r="E61" s="6">
        <f t="shared" si="4"/>
        <v>9.6417998719841123</v>
      </c>
      <c r="F61" s="6">
        <f>Parameters!$B$5</f>
        <v>5.5935987065355954</v>
      </c>
      <c r="G61" s="6">
        <f>Parameters!$B$6</f>
        <v>11.66576273922931</v>
      </c>
      <c r="H61" s="7">
        <f t="shared" si="5"/>
        <v>66.668178653478606</v>
      </c>
      <c r="I61" s="7">
        <f>'GDP Source - Filtered'!F61</f>
        <v>47.76274768804015</v>
      </c>
      <c r="J61" t="str">
        <f>'GDP Source - Filtered'!A61</f>
        <v>Turkiye</v>
      </c>
    </row>
    <row r="62" spans="1:10">
      <c r="A62">
        <f t="shared" si="3"/>
        <v>61</v>
      </c>
      <c r="B62" t="str">
        <f>'GDP Source - Filtered'!E62</f>
        <v>Costa Rica</v>
      </c>
      <c r="C62" t="str">
        <f>'GDP Source - Filtered'!B62</f>
        <v>CRI</v>
      </c>
      <c r="D62" s="5">
        <f>'GDP Source - Filtered'!D62</f>
        <v>15052.914989999999</v>
      </c>
      <c r="E62" s="6">
        <f t="shared" si="4"/>
        <v>9.6193269384652975</v>
      </c>
      <c r="F62" s="6">
        <f>Parameters!$B$5</f>
        <v>5.5935987065355954</v>
      </c>
      <c r="G62" s="6">
        <f>Parameters!$B$6</f>
        <v>11.66576273922931</v>
      </c>
      <c r="H62" s="7">
        <f t="shared" si="5"/>
        <v>66.298081050748905</v>
      </c>
      <c r="I62" s="7">
        <f>'GDP Source - Filtered'!F62</f>
        <v>44.488276955770566</v>
      </c>
      <c r="J62" t="str">
        <f>'GDP Source - Filtered'!A62</f>
        <v>Costa Rica</v>
      </c>
    </row>
    <row r="63" spans="1:10">
      <c r="A63">
        <f t="shared" si="3"/>
        <v>62</v>
      </c>
      <c r="B63" t="str">
        <f>'GDP Source - Filtered'!E63</f>
        <v>Chile</v>
      </c>
      <c r="C63" t="str">
        <f>'GDP Source - Filtered'!B63</f>
        <v>CHL</v>
      </c>
      <c r="D63" s="5">
        <f>'GDP Source - Filtered'!D63</f>
        <v>14616.92879</v>
      </c>
      <c r="E63" s="6">
        <f t="shared" si="4"/>
        <v>9.5899356421527209</v>
      </c>
      <c r="F63" s="6">
        <f>Parameters!$B$5</f>
        <v>5.5935987065355954</v>
      </c>
      <c r="G63" s="6">
        <f>Parameters!$B$6</f>
        <v>11.66576273922931</v>
      </c>
      <c r="H63" s="7">
        <f t="shared" si="5"/>
        <v>65.814047744759023</v>
      </c>
      <c r="I63" s="7">
        <f>'GDP Source - Filtered'!F63</f>
        <v>48.787712903145717</v>
      </c>
      <c r="J63" t="str">
        <f>'GDP Source - Filtered'!A63</f>
        <v>Chile</v>
      </c>
    </row>
    <row r="64" spans="1:10">
      <c r="A64">
        <f t="shared" si="3"/>
        <v>63</v>
      </c>
      <c r="B64" t="str">
        <f>'GDP Source - Filtered'!E64</f>
        <v>China</v>
      </c>
      <c r="C64" t="str">
        <f>'GDP Source - Filtered'!B64</f>
        <v>CHN</v>
      </c>
      <c r="D64" s="5">
        <f>'GDP Source - Filtered'!D64</f>
        <v>13119.107609999999</v>
      </c>
      <c r="E64" s="6">
        <f t="shared" si="4"/>
        <v>9.4818250426542949</v>
      </c>
      <c r="F64" s="6">
        <f>Parameters!$B$5</f>
        <v>5.5935987065355954</v>
      </c>
      <c r="G64" s="6">
        <f>Parameters!$B$6</f>
        <v>11.66576273922931</v>
      </c>
      <c r="H64" s="7">
        <f t="shared" si="5"/>
        <v>64.033618248514557</v>
      </c>
      <c r="I64" s="7">
        <f>'GDP Source - Filtered'!F64</f>
        <v>85.330489397257978</v>
      </c>
      <c r="J64" t="str">
        <f>'GDP Source - Filtered'!A64</f>
        <v>China</v>
      </c>
    </row>
    <row r="65" spans="1:10">
      <c r="A65">
        <f t="shared" si="3"/>
        <v>64</v>
      </c>
      <c r="B65" t="str">
        <f>'GDP Source - Filtered'!E65</f>
        <v>Argentina</v>
      </c>
      <c r="C65" t="str">
        <f>'GDP Source - Filtered'!B65</f>
        <v>ARG</v>
      </c>
      <c r="D65" s="5">
        <f>'GDP Source - Filtered'!D65</f>
        <v>12774.35066</v>
      </c>
      <c r="E65" s="6">
        <f t="shared" si="4"/>
        <v>9.4551945848172512</v>
      </c>
      <c r="F65" s="6">
        <f>Parameters!$B$5</f>
        <v>5.5935987065355954</v>
      </c>
      <c r="G65" s="6">
        <f>Parameters!$B$6</f>
        <v>11.66576273922931</v>
      </c>
      <c r="H65" s="7">
        <f t="shared" si="5"/>
        <v>63.595052068588252</v>
      </c>
      <c r="I65" s="7">
        <f>'GDP Source - Filtered'!F65</f>
        <v>100</v>
      </c>
      <c r="J65" t="str">
        <f>'GDP Source - Filtered'!A65</f>
        <v>Argentina</v>
      </c>
    </row>
    <row r="66" spans="1:10">
      <c r="A66">
        <f t="shared" ref="A66:A97" si="6">ROW()-1</f>
        <v>65</v>
      </c>
      <c r="B66" t="str">
        <f>'GDP Source - Filtered'!E66</f>
        <v>Romania</v>
      </c>
      <c r="C66" t="str">
        <f>'GDP Source - Filtered'!B66</f>
        <v>ROU</v>
      </c>
      <c r="D66" s="5">
        <f>'GDP Source - Filtered'!D66</f>
        <v>12459.91121</v>
      </c>
      <c r="E66" s="6">
        <f t="shared" ref="E66:E97" si="7">LN(D66)</f>
        <v>9.4302716663128443</v>
      </c>
      <c r="F66" s="6">
        <f>Parameters!$B$5</f>
        <v>5.5935987065355954</v>
      </c>
      <c r="G66" s="6">
        <f>Parameters!$B$6</f>
        <v>11.66576273922931</v>
      </c>
      <c r="H66" s="7">
        <f t="shared" ref="H66:H97" si="8">100*(E66-F66)/(G66-F66)</f>
        <v>63.184606659501526</v>
      </c>
      <c r="I66" s="7">
        <f>'GDP Source - Filtered'!F66</f>
        <v>80.206667879482779</v>
      </c>
      <c r="J66" t="str">
        <f>'GDP Source - Filtered'!A66</f>
        <v>Romania</v>
      </c>
    </row>
    <row r="67" spans="1:10">
      <c r="A67">
        <f t="shared" si="6"/>
        <v>66</v>
      </c>
      <c r="B67" t="str">
        <f>'GDP Source - Filtered'!E67</f>
        <v>Saint Lucia</v>
      </c>
      <c r="C67" t="str">
        <f>'GDP Source - Filtered'!B67</f>
        <v>LCA</v>
      </c>
      <c r="D67" s="5">
        <f>'GDP Source - Filtered'!D67</f>
        <v>12190.79709</v>
      </c>
      <c r="E67" s="6">
        <f t="shared" si="7"/>
        <v>9.4084366091808747</v>
      </c>
      <c r="F67" s="6">
        <f>Parameters!$B$5</f>
        <v>5.5935987065355954</v>
      </c>
      <c r="G67" s="6">
        <f>Parameters!$B$6</f>
        <v>11.66576273922931</v>
      </c>
      <c r="H67" s="7">
        <f t="shared" si="8"/>
        <v>62.82501398357239</v>
      </c>
      <c r="I67" s="7">
        <f>'GDP Source - Filtered'!F67</f>
        <v>25.252498689391867</v>
      </c>
      <c r="J67" t="str">
        <f>'GDP Source - Filtered'!A67</f>
        <v>St. Lucia</v>
      </c>
    </row>
    <row r="68" spans="1:10">
      <c r="A68">
        <f t="shared" si="6"/>
        <v>67</v>
      </c>
      <c r="B68" t="str">
        <f>'GDP Source - Filtered'!E68</f>
        <v>Mauritius</v>
      </c>
      <c r="C68" t="str">
        <f>'GDP Source - Filtered'!B68</f>
        <v>MUS</v>
      </c>
      <c r="D68" s="5">
        <f>'GDP Source - Filtered'!D68</f>
        <v>11918.80452</v>
      </c>
      <c r="E68" s="6">
        <f t="shared" si="7"/>
        <v>9.3858726436434576</v>
      </c>
      <c r="F68" s="6">
        <f>Parameters!$B$5</f>
        <v>5.5935987065355954</v>
      </c>
      <c r="G68" s="6">
        <f>Parameters!$B$6</f>
        <v>11.66576273922931</v>
      </c>
      <c r="H68" s="7">
        <f t="shared" si="8"/>
        <v>62.453417211549628</v>
      </c>
      <c r="I68" s="7">
        <f>'GDP Source - Filtered'!F68</f>
        <v>39.484828758828137</v>
      </c>
      <c r="J68" t="str">
        <f>'GDP Source - Filtered'!A68</f>
        <v>Mauritius</v>
      </c>
    </row>
    <row r="69" spans="1:10">
      <c r="A69">
        <f t="shared" si="6"/>
        <v>68</v>
      </c>
      <c r="B69" t="str">
        <f>'GDP Source - Filtered'!E69</f>
        <v>Malaysia</v>
      </c>
      <c r="C69" t="str">
        <f>'GDP Source - Filtered'!B69</f>
        <v>MYS</v>
      </c>
      <c r="D69" s="5">
        <f>'GDP Source - Filtered'!D69</f>
        <v>11883.791279999999</v>
      </c>
      <c r="E69" s="6">
        <f t="shared" si="7"/>
        <v>9.3829306733182012</v>
      </c>
      <c r="F69" s="6">
        <f>Parameters!$B$5</f>
        <v>5.5935987065355954</v>
      </c>
      <c r="G69" s="6">
        <f>Parameters!$B$6</f>
        <v>11.66576273922931</v>
      </c>
      <c r="H69" s="7">
        <f t="shared" si="8"/>
        <v>62.40496709871644</v>
      </c>
      <c r="I69" s="7">
        <f>'GDP Source - Filtered'!F69</f>
        <v>100</v>
      </c>
      <c r="J69" t="str">
        <f>'GDP Source - Filtered'!A69</f>
        <v>Malaysia</v>
      </c>
    </row>
    <row r="70" spans="1:10">
      <c r="A70">
        <f t="shared" si="6"/>
        <v>69</v>
      </c>
      <c r="B70" t="str">
        <f>'GDP Source - Filtered'!E70</f>
        <v>Kazakhstan</v>
      </c>
      <c r="C70" t="str">
        <f>'GDP Source - Filtered'!B70</f>
        <v>KAZ</v>
      </c>
      <c r="D70" s="5">
        <f>'GDP Source - Filtered'!D70</f>
        <v>11872.78426</v>
      </c>
      <c r="E70" s="6">
        <f t="shared" si="7"/>
        <v>9.3820040228614392</v>
      </c>
      <c r="F70" s="6">
        <f>Parameters!$B$5</f>
        <v>5.5935987065355954</v>
      </c>
      <c r="G70" s="6">
        <f>Parameters!$B$6</f>
        <v>11.66576273922931</v>
      </c>
      <c r="H70" s="7">
        <f t="shared" si="8"/>
        <v>62.389706469198316</v>
      </c>
      <c r="I70" s="7">
        <f>'GDP Source - Filtered'!F70</f>
        <v>100</v>
      </c>
      <c r="J70" t="str">
        <f>'GDP Source - Filtered'!A70</f>
        <v>Kazakhstan</v>
      </c>
    </row>
    <row r="71" spans="1:10">
      <c r="A71">
        <f t="shared" si="6"/>
        <v>70</v>
      </c>
      <c r="B71" t="str">
        <f>'GDP Source - Filtered'!E71</f>
        <v>Maldives</v>
      </c>
      <c r="C71" t="str">
        <f>'GDP Source - Filtered'!B71</f>
        <v>MDV</v>
      </c>
      <c r="D71" s="5">
        <f>'GDP Source - Filtered'!D71</f>
        <v>11798.791370000001</v>
      </c>
      <c r="E71" s="6">
        <f t="shared" si="7"/>
        <v>9.3757523789366406</v>
      </c>
      <c r="F71" s="6">
        <f>Parameters!$B$5</f>
        <v>5.5935987065355954</v>
      </c>
      <c r="G71" s="6">
        <f>Parameters!$B$6</f>
        <v>11.66576273922931</v>
      </c>
      <c r="H71" s="7">
        <f t="shared" si="8"/>
        <v>62.286750687846919</v>
      </c>
      <c r="I71" s="7">
        <f>'GDP Source - Filtered'!F71</f>
        <v>35.571468036756947</v>
      </c>
      <c r="J71" t="str">
        <f>'GDP Source - Filtered'!A71</f>
        <v>Maldives</v>
      </c>
    </row>
    <row r="72" spans="1:10">
      <c r="A72">
        <f t="shared" si="6"/>
        <v>71</v>
      </c>
      <c r="B72" t="str">
        <f>'GDP Source - Filtered'!E72</f>
        <v>Russian Federation</v>
      </c>
      <c r="C72" t="str">
        <f>'GDP Source - Filtered'!B72</f>
        <v>RUS</v>
      </c>
      <c r="D72" s="5">
        <f>'GDP Source - Filtered'!D72</f>
        <v>11092.63379</v>
      </c>
      <c r="E72" s="6">
        <f t="shared" si="7"/>
        <v>9.3140365444830095</v>
      </c>
      <c r="F72" s="6">
        <f>Parameters!$B$5</f>
        <v>5.5935987065355954</v>
      </c>
      <c r="G72" s="6">
        <f>Parameters!$B$6</f>
        <v>11.66576273922931</v>
      </c>
      <c r="H72" s="7">
        <f t="shared" si="8"/>
        <v>61.270377709097637</v>
      </c>
      <c r="I72" s="7">
        <f>'GDP Source - Filtered'!F72</f>
        <v>100</v>
      </c>
      <c r="J72" t="str">
        <f>'GDP Source - Filtered'!A72</f>
        <v>Russian Federation</v>
      </c>
    </row>
    <row r="73" spans="1:10">
      <c r="A73">
        <f t="shared" si="6"/>
        <v>72</v>
      </c>
      <c r="B73" t="str">
        <f>'GDP Source - Filtered'!E73</f>
        <v>Mexico</v>
      </c>
      <c r="C73" t="str">
        <f>'GDP Source - Filtered'!B73</f>
        <v>MEX</v>
      </c>
      <c r="D73" s="5">
        <f>'GDP Source - Filtered'!D73</f>
        <v>10284.03369</v>
      </c>
      <c r="E73" s="6">
        <f t="shared" si="7"/>
        <v>9.2383478443430747</v>
      </c>
      <c r="F73" s="6">
        <f>Parameters!$B$5</f>
        <v>5.5935987065355954</v>
      </c>
      <c r="G73" s="6">
        <f>Parameters!$B$6</f>
        <v>11.66576273922931</v>
      </c>
      <c r="H73" s="7">
        <f t="shared" si="8"/>
        <v>60.023891287907233</v>
      </c>
      <c r="I73" s="7">
        <f>'GDP Source - Filtered'!F73</f>
        <v>80.442352331077302</v>
      </c>
      <c r="J73" t="str">
        <f>'GDP Source - Filtered'!A73</f>
        <v>Mexico</v>
      </c>
    </row>
    <row r="74" spans="1:10">
      <c r="A74">
        <f t="shared" si="6"/>
        <v>73</v>
      </c>
      <c r="B74" t="str">
        <f>'GDP Source - Filtered'!E74</f>
        <v>Bulgaria</v>
      </c>
      <c r="C74" t="str">
        <f>'GDP Source - Filtered'!B74</f>
        <v>BGR</v>
      </c>
      <c r="D74" s="5">
        <f>'GDP Source - Filtered'!D74</f>
        <v>10127.41526</v>
      </c>
      <c r="E74" s="6">
        <f t="shared" si="7"/>
        <v>9.2230014077251283</v>
      </c>
      <c r="F74" s="6">
        <f>Parameters!$B$5</f>
        <v>5.5935987065355954</v>
      </c>
      <c r="G74" s="6">
        <f>Parameters!$B$6</f>
        <v>11.66576273922931</v>
      </c>
      <c r="H74" s="7">
        <f t="shared" si="8"/>
        <v>59.771157064402765</v>
      </c>
      <c r="I74" s="7">
        <f>'GDP Source - Filtered'!F74</f>
        <v>70.016429343157654</v>
      </c>
      <c r="J74" t="str">
        <f>'GDP Source - Filtered'!A74</f>
        <v>Bulgaria</v>
      </c>
    </row>
    <row r="75" spans="1:10">
      <c r="A75">
        <f t="shared" si="6"/>
        <v>74</v>
      </c>
      <c r="B75" t="str">
        <f>'GDP Source - Filtered'!E75</f>
        <v>Grenada</v>
      </c>
      <c r="C75" t="str">
        <f>'GDP Source - Filtered'!B75</f>
        <v>GRD</v>
      </c>
      <c r="D75" s="5">
        <f>'GDP Source - Filtered'!D75</f>
        <v>10042.650310000001</v>
      </c>
      <c r="E75" s="6">
        <f t="shared" si="7"/>
        <v>9.2145963335100252</v>
      </c>
      <c r="F75" s="6">
        <f>Parameters!$B$5</f>
        <v>5.5935987065355954</v>
      </c>
      <c r="G75" s="6">
        <f>Parameters!$B$6</f>
        <v>11.66576273922931</v>
      </c>
      <c r="H75" s="7">
        <f t="shared" si="8"/>
        <v>59.632737315366867</v>
      </c>
      <c r="I75" s="7">
        <f>'GDP Source - Filtered'!F75</f>
        <v>24.066066166222488</v>
      </c>
      <c r="J75" t="str">
        <f>'GDP Source - Filtered'!A75</f>
        <v>Grenada</v>
      </c>
    </row>
    <row r="76" spans="1:10">
      <c r="A76">
        <f t="shared" si="6"/>
        <v>75</v>
      </c>
      <c r="B76" t="str">
        <f>'GDP Source - Filtered'!E76</f>
        <v>Brazil</v>
      </c>
      <c r="C76" t="str">
        <f>'GDP Source - Filtered'!B76</f>
        <v>BRA</v>
      </c>
      <c r="D76" s="5">
        <f>'GDP Source - Filtered'!D76</f>
        <v>9566.7451870000004</v>
      </c>
      <c r="E76" s="6">
        <f t="shared" si="7"/>
        <v>9.1660483207462686</v>
      </c>
      <c r="F76" s="6">
        <f>Parameters!$B$5</f>
        <v>5.5935987065355954</v>
      </c>
      <c r="G76" s="6">
        <f>Parameters!$B$6</f>
        <v>11.66576273922931</v>
      </c>
      <c r="H76" s="7">
        <f t="shared" si="8"/>
        <v>58.833219836880367</v>
      </c>
      <c r="I76" s="7">
        <f>'GDP Source - Filtered'!F76</f>
        <v>100</v>
      </c>
      <c r="J76" t="str">
        <f>'GDP Source - Filtered'!A76</f>
        <v>Brazil</v>
      </c>
    </row>
    <row r="77" spans="1:10">
      <c r="A77">
        <f t="shared" si="6"/>
        <v>76</v>
      </c>
      <c r="B77" t="str">
        <f>'GDP Source - Filtered'!E77</f>
        <v>Saint Vincent and the Grenadines</v>
      </c>
      <c r="C77" t="str">
        <f>'GDP Source - Filtered'!B77</f>
        <v>VCT</v>
      </c>
      <c r="D77" s="5">
        <f>'GDP Source - Filtered'!D77</f>
        <v>9485.1877120000008</v>
      </c>
      <c r="E77" s="6">
        <f t="shared" si="7"/>
        <v>9.157486672579191</v>
      </c>
      <c r="F77" s="6">
        <f>Parameters!$B$5</f>
        <v>5.5935987065355954</v>
      </c>
      <c r="G77" s="6">
        <f>Parameters!$B$6</f>
        <v>11.66576273922931</v>
      </c>
      <c r="H77" s="7">
        <f t="shared" si="8"/>
        <v>58.692221535105581</v>
      </c>
      <c r="I77" s="7">
        <f>'GDP Source - Filtered'!F77</f>
        <v>36.200673648996585</v>
      </c>
      <c r="J77" t="str">
        <f>'GDP Source - Filtered'!A77</f>
        <v>St. Vincent and the Grenadines</v>
      </c>
    </row>
    <row r="78" spans="1:10">
      <c r="A78">
        <f t="shared" si="6"/>
        <v>77</v>
      </c>
      <c r="B78" t="str">
        <f>'GDP Source - Filtered'!E78</f>
        <v>Dominica</v>
      </c>
      <c r="C78" t="str">
        <f>'GDP Source - Filtered'!B78</f>
        <v>DMA</v>
      </c>
      <c r="D78" s="5">
        <f>'GDP Source - Filtered'!D78</f>
        <v>9172.7104959999997</v>
      </c>
      <c r="E78" s="6">
        <f t="shared" si="7"/>
        <v>9.1239881045624696</v>
      </c>
      <c r="F78" s="6">
        <f>Parameters!$B$5</f>
        <v>5.5935987065355954</v>
      </c>
      <c r="G78" s="6">
        <f>Parameters!$B$6</f>
        <v>11.66576273922931</v>
      </c>
      <c r="H78" s="7">
        <f t="shared" si="8"/>
        <v>58.140547241783487</v>
      </c>
      <c r="I78" s="7">
        <f>'GDP Source - Filtered'!F78</f>
        <v>33.72514825680377</v>
      </c>
      <c r="J78" t="str">
        <f>'GDP Source - Filtered'!A78</f>
        <v>Dominica</v>
      </c>
    </row>
    <row r="79" spans="1:10">
      <c r="A79">
        <f t="shared" si="6"/>
        <v>78</v>
      </c>
      <c r="B79" t="str">
        <f>'GDP Source - Filtered'!E79</f>
        <v>Dominican Rep.</v>
      </c>
      <c r="C79" t="str">
        <f>'GDP Source - Filtered'!B79</f>
        <v>DOM</v>
      </c>
      <c r="D79" s="5">
        <f>'GDP Source - Filtered'!D79</f>
        <v>9168.454189</v>
      </c>
      <c r="E79" s="6">
        <f t="shared" si="7"/>
        <v>9.1235239784124129</v>
      </c>
      <c r="F79" s="6">
        <f>Parameters!$B$5</f>
        <v>5.5935987065355954</v>
      </c>
      <c r="G79" s="6">
        <f>Parameters!$B$6</f>
        <v>11.66576273922931</v>
      </c>
      <c r="H79" s="7">
        <f t="shared" si="8"/>
        <v>58.132903736971066</v>
      </c>
      <c r="I79" s="7">
        <f>'GDP Source - Filtered'!F79</f>
        <v>31.345941287241907</v>
      </c>
      <c r="J79" t="str">
        <f>'GDP Source - Filtered'!A79</f>
        <v>Dominican Republic</v>
      </c>
    </row>
    <row r="80" spans="1:10">
      <c r="A80">
        <f t="shared" si="6"/>
        <v>79</v>
      </c>
      <c r="B80" t="str">
        <f>'GDP Source - Filtered'!E80</f>
        <v>Serbia</v>
      </c>
      <c r="C80" t="str">
        <f>'GDP Source - Filtered'!B80</f>
        <v>SRB</v>
      </c>
      <c r="D80" s="5">
        <f>'GDP Source - Filtered'!D80</f>
        <v>8580.261058</v>
      </c>
      <c r="E80" s="6">
        <f t="shared" si="7"/>
        <v>9.0572196183594631</v>
      </c>
      <c r="F80" s="6">
        <f>Parameters!$B$5</f>
        <v>5.5935987065355954</v>
      </c>
      <c r="G80" s="6">
        <f>Parameters!$B$6</f>
        <v>11.66576273922931</v>
      </c>
      <c r="H80" s="7">
        <f t="shared" si="8"/>
        <v>57.040964196208435</v>
      </c>
      <c r="I80" s="7">
        <f>'GDP Source - Filtered'!F80</f>
        <v>68.456999745431972</v>
      </c>
      <c r="J80" t="str">
        <f>'GDP Source - Filtered'!A80</f>
        <v>Serbia</v>
      </c>
    </row>
    <row r="81" spans="1:10">
      <c r="A81">
        <f t="shared" si="6"/>
        <v>80</v>
      </c>
      <c r="B81" t="str">
        <f>'GDP Source - Filtered'!E81</f>
        <v>Montenegro</v>
      </c>
      <c r="C81" t="str">
        <f>'GDP Source - Filtered'!B81</f>
        <v>MNE</v>
      </c>
      <c r="D81" s="5">
        <f>'GDP Source - Filtered'!D81</f>
        <v>8540.0042780000003</v>
      </c>
      <c r="E81" s="6">
        <f t="shared" si="7"/>
        <v>9.0525167877192576</v>
      </c>
      <c r="F81" s="6">
        <f>Parameters!$B$5</f>
        <v>5.5935987065355954</v>
      </c>
      <c r="G81" s="6">
        <f>Parameters!$B$6</f>
        <v>11.66576273922931</v>
      </c>
      <c r="H81" s="7">
        <f t="shared" si="8"/>
        <v>56.963515190962781</v>
      </c>
      <c r="I81" s="7">
        <f>'GDP Source - Filtered'!F81</f>
        <v>73.783282542362329</v>
      </c>
      <c r="J81" t="str">
        <f>'GDP Source - Filtered'!A81</f>
        <v>Montenegro</v>
      </c>
    </row>
    <row r="82" spans="1:10">
      <c r="A82">
        <f t="shared" si="6"/>
        <v>81</v>
      </c>
      <c r="B82" t="str">
        <f>'GDP Source - Filtered'!E82</f>
        <v>Turkmenistan</v>
      </c>
      <c r="C82" t="str">
        <f>'GDP Source - Filtered'!B82</f>
        <v>TKM</v>
      </c>
      <c r="D82" s="5">
        <f>'GDP Source - Filtered'!D82</f>
        <v>8229.672611</v>
      </c>
      <c r="E82" s="6">
        <f t="shared" si="7"/>
        <v>9.0155015129284752</v>
      </c>
      <c r="F82" s="6">
        <f>Parameters!$B$5</f>
        <v>5.5935987065355954</v>
      </c>
      <c r="G82" s="6">
        <f>Parameters!$B$6</f>
        <v>11.66576273922931</v>
      </c>
      <c r="H82" s="7">
        <f t="shared" si="8"/>
        <v>56.353925683968491</v>
      </c>
      <c r="I82" s="7">
        <f>'GDP Source - Filtered'!F82</f>
        <v>100</v>
      </c>
      <c r="J82" t="str">
        <f>'GDP Source - Filtered'!A82</f>
        <v>Turkmenistan</v>
      </c>
    </row>
    <row r="83" spans="1:10">
      <c r="A83">
        <f t="shared" si="6"/>
        <v>82</v>
      </c>
      <c r="B83" t="str">
        <f>'GDP Source - Filtered'!E83</f>
        <v>Nauru</v>
      </c>
      <c r="C83" t="str">
        <f>'GDP Source - Filtered'!B83</f>
        <v>NRU</v>
      </c>
      <c r="D83" s="5">
        <f>'GDP Source - Filtered'!D83</f>
        <v>8218.724768</v>
      </c>
      <c r="E83" s="6">
        <f t="shared" si="7"/>
        <v>9.0141703383022307</v>
      </c>
      <c r="F83" s="6">
        <f>Parameters!$B$5</f>
        <v>5.5935987065355954</v>
      </c>
      <c r="G83" s="6">
        <f>Parameters!$B$6</f>
        <v>11.66576273922931</v>
      </c>
      <c r="H83" s="7">
        <f t="shared" si="8"/>
        <v>56.332003110416835</v>
      </c>
      <c r="I83" s="7">
        <f>'GDP Source - Filtered'!F83</f>
        <v>31.80987683394827</v>
      </c>
      <c r="J83" t="str">
        <f>'GDP Source - Filtered'!A83</f>
        <v>Naoero</v>
      </c>
    </row>
    <row r="84" spans="1:10">
      <c r="A84">
        <f t="shared" si="6"/>
        <v>83</v>
      </c>
      <c r="B84" t="str">
        <f>'GDP Source - Filtered'!E84</f>
        <v>Libya</v>
      </c>
      <c r="C84" t="str">
        <f>'GDP Source - Filtered'!B84</f>
        <v>LBY</v>
      </c>
      <c r="D84" s="5">
        <f>'GDP Source - Filtered'!D84</f>
        <v>7696.080782</v>
      </c>
      <c r="E84" s="6">
        <f t="shared" si="7"/>
        <v>8.9484664889120751</v>
      </c>
      <c r="F84" s="6">
        <f>Parameters!$B$5</f>
        <v>5.5935987065355954</v>
      </c>
      <c r="G84" s="6">
        <f>Parameters!$B$6</f>
        <v>11.66576273922931</v>
      </c>
      <c r="H84" s="7">
        <f t="shared" si="8"/>
        <v>55.249953135541432</v>
      </c>
      <c r="I84" s="7">
        <f>'GDP Source - Filtered'!F84</f>
        <v>100</v>
      </c>
      <c r="J84" t="str">
        <f>'GDP Source - Filtered'!A84</f>
        <v>Libya</v>
      </c>
    </row>
    <row r="85" spans="1:10">
      <c r="A85">
        <f t="shared" si="6"/>
        <v>84</v>
      </c>
      <c r="B85" t="str">
        <f>'GDP Source - Filtered'!E85</f>
        <v>Cuba</v>
      </c>
      <c r="C85" t="str">
        <f>'GDP Source - Filtered'!B85</f>
        <v>CUB</v>
      </c>
      <c r="D85" s="5">
        <f>'GDP Source - Filtered'!D85</f>
        <v>7381.3977400000003</v>
      </c>
      <c r="E85" s="6">
        <f t="shared" si="7"/>
        <v>8.9067182953253798</v>
      </c>
      <c r="F85" s="6">
        <f>Parameters!$B$5</f>
        <v>5.5935987065355954</v>
      </c>
      <c r="G85" s="6">
        <f>Parameters!$B$6</f>
        <v>11.66576273922931</v>
      </c>
      <c r="H85" s="7">
        <f t="shared" si="8"/>
        <v>54.562419113701523</v>
      </c>
      <c r="I85" s="7">
        <f>'GDP Source - Filtered'!F85</f>
        <v>59.043957342729989</v>
      </c>
      <c r="J85" t="str">
        <f>'GDP Source - Filtered'!A85</f>
        <v>Cuba</v>
      </c>
    </row>
    <row r="86" spans="1:10">
      <c r="A86">
        <f t="shared" si="6"/>
        <v>85</v>
      </c>
      <c r="B86" t="str">
        <f>'GDP Source - Filtered'!E86</f>
        <v>Suriname</v>
      </c>
      <c r="C86" t="str">
        <f>'GDP Source - Filtered'!B86</f>
        <v>SUR</v>
      </c>
      <c r="D86" s="5">
        <f>'GDP Source - Filtered'!D86</f>
        <v>7246.2576820000004</v>
      </c>
      <c r="E86" s="6">
        <f t="shared" si="7"/>
        <v>8.8882404327879332</v>
      </c>
      <c r="F86" s="6">
        <f>Parameters!$B$5</f>
        <v>5.5935987065355954</v>
      </c>
      <c r="G86" s="6">
        <f>Parameters!$B$6</f>
        <v>11.66576273922931</v>
      </c>
      <c r="H86" s="7">
        <f t="shared" si="8"/>
        <v>54.258114710230899</v>
      </c>
      <c r="I86" s="7">
        <f>'GDP Source - Filtered'!F86</f>
        <v>99.826633774771196</v>
      </c>
      <c r="J86" t="str">
        <f>'GDP Source - Filtered'!A86</f>
        <v>Suriname</v>
      </c>
    </row>
    <row r="87" spans="1:10">
      <c r="A87">
        <f t="shared" si="6"/>
        <v>86</v>
      </c>
      <c r="B87" t="str">
        <f>'GDP Source - Filtered'!E87</f>
        <v>Botswana</v>
      </c>
      <c r="C87" t="str">
        <f>'GDP Source - Filtered'!B87</f>
        <v>BWA</v>
      </c>
      <c r="D87" s="5">
        <f>'GDP Source - Filtered'!D87</f>
        <v>6952.3477039999998</v>
      </c>
      <c r="E87" s="6">
        <f t="shared" si="7"/>
        <v>8.8468346806542453</v>
      </c>
      <c r="F87" s="6">
        <f>Parameters!$B$5</f>
        <v>5.5935987065355954</v>
      </c>
      <c r="G87" s="6">
        <f>Parameters!$B$6</f>
        <v>11.66576273922931</v>
      </c>
      <c r="H87" s="7">
        <f t="shared" si="8"/>
        <v>53.576220217414964</v>
      </c>
      <c r="I87" s="7">
        <f>'GDP Source - Filtered'!F87</f>
        <v>75.653147232953231</v>
      </c>
      <c r="J87" t="str">
        <f>'GDP Source - Filtered'!A87</f>
        <v>Botswana</v>
      </c>
    </row>
    <row r="88" spans="1:10">
      <c r="A88">
        <f t="shared" si="6"/>
        <v>87</v>
      </c>
      <c r="B88" t="str">
        <f>'GDP Source - Filtered'!E88</f>
        <v>Colombia</v>
      </c>
      <c r="C88" t="str">
        <f>'GDP Source - Filtered'!B88</f>
        <v>COL</v>
      </c>
      <c r="D88" s="5">
        <f>'GDP Source - Filtered'!D88</f>
        <v>6865.3128390000002</v>
      </c>
      <c r="E88" s="6">
        <f t="shared" si="7"/>
        <v>8.8342368873021666</v>
      </c>
      <c r="F88" s="6">
        <f>Parameters!$B$5</f>
        <v>5.5935987065355954</v>
      </c>
      <c r="G88" s="6">
        <f>Parameters!$B$6</f>
        <v>11.66576273922931</v>
      </c>
      <c r="H88" s="7">
        <f t="shared" si="8"/>
        <v>53.368752282025717</v>
      </c>
      <c r="I88" s="7">
        <f>'GDP Source - Filtered'!F88</f>
        <v>100</v>
      </c>
      <c r="J88" t="str">
        <f>'GDP Source - Filtered'!A88</f>
        <v>Colombia</v>
      </c>
    </row>
    <row r="89" spans="1:10">
      <c r="A89">
        <f t="shared" si="6"/>
        <v>88</v>
      </c>
      <c r="B89" t="str">
        <f>'GDP Source - Filtered'!E89</f>
        <v>Belarus</v>
      </c>
      <c r="C89" t="str">
        <f>'GDP Source - Filtered'!B89</f>
        <v>BLR</v>
      </c>
      <c r="D89" s="5">
        <f>'GDP Source - Filtered'!D89</f>
        <v>6814.3444339999996</v>
      </c>
      <c r="E89" s="6">
        <f t="shared" si="7"/>
        <v>8.8267851449328383</v>
      </c>
      <c r="F89" s="6">
        <f>Parameters!$B$5</f>
        <v>5.5935987065355954</v>
      </c>
      <c r="G89" s="6">
        <f>Parameters!$B$6</f>
        <v>11.66576273922931</v>
      </c>
      <c r="H89" s="7">
        <f t="shared" si="8"/>
        <v>53.24603256745268</v>
      </c>
      <c r="I89" s="7">
        <f>'GDP Source - Filtered'!F89</f>
        <v>51.14868072510783</v>
      </c>
      <c r="J89" t="str">
        <f>'GDP Source - Filtered'!A89</f>
        <v>Belarus</v>
      </c>
    </row>
    <row r="90" spans="1:10">
      <c r="A90">
        <f t="shared" si="6"/>
        <v>89</v>
      </c>
      <c r="B90" t="str">
        <f>'GDP Source - Filtered'!E90</f>
        <v>Bosnia Herzegovina</v>
      </c>
      <c r="C90" t="str">
        <f>'GDP Source - Filtered'!B90</f>
        <v>BIH</v>
      </c>
      <c r="D90" s="5">
        <f>'GDP Source - Filtered'!D90</f>
        <v>6746.953665</v>
      </c>
      <c r="E90" s="6">
        <f t="shared" si="7"/>
        <v>8.8168463731071789</v>
      </c>
      <c r="F90" s="6">
        <f>Parameters!$B$5</f>
        <v>5.5935987065355954</v>
      </c>
      <c r="G90" s="6">
        <f>Parameters!$B$6</f>
        <v>11.66576273922931</v>
      </c>
      <c r="H90" s="7">
        <f t="shared" si="8"/>
        <v>53.082354976199426</v>
      </c>
      <c r="I90" s="7">
        <f>'GDP Source - Filtered'!F90</f>
        <v>80.78064134936804</v>
      </c>
      <c r="J90" t="str">
        <f>'GDP Source - Filtered'!A90</f>
        <v>Bosnia and Herzegovina</v>
      </c>
    </row>
    <row r="91" spans="1:10">
      <c r="A91">
        <f t="shared" si="6"/>
        <v>90</v>
      </c>
      <c r="B91" t="str">
        <f>'GDP Source - Filtered'!E91</f>
        <v>Peru</v>
      </c>
      <c r="C91" t="str">
        <f>'GDP Source - Filtered'!B91</f>
        <v>PER</v>
      </c>
      <c r="D91" s="5">
        <f>'GDP Source - Filtered'!D91</f>
        <v>6732.2777379999998</v>
      </c>
      <c r="E91" s="6">
        <f t="shared" si="7"/>
        <v>8.8146688108470794</v>
      </c>
      <c r="F91" s="6">
        <f>Parameters!$B$5</f>
        <v>5.5935987065355954</v>
      </c>
      <c r="G91" s="6">
        <f>Parameters!$B$6</f>
        <v>11.66576273922931</v>
      </c>
      <c r="H91" s="7">
        <f t="shared" si="8"/>
        <v>53.046493588918466</v>
      </c>
      <c r="I91" s="7">
        <f>'GDP Source - Filtered'!F91</f>
        <v>95.698865034339747</v>
      </c>
      <c r="J91" t="str">
        <f>'GDP Source - Filtered'!A91</f>
        <v>Peru</v>
      </c>
    </row>
    <row r="92" spans="1:10">
      <c r="A92">
        <f t="shared" si="6"/>
        <v>91</v>
      </c>
      <c r="B92" t="str">
        <f>'GDP Source - Filtered'!E92</f>
        <v>Paraguay</v>
      </c>
      <c r="C92" t="str">
        <f>'GDP Source - Filtered'!B92</f>
        <v>PRY</v>
      </c>
      <c r="D92" s="5">
        <f>'GDP Source - Filtered'!D92</f>
        <v>6670.6995660000002</v>
      </c>
      <c r="E92" s="6">
        <f t="shared" si="7"/>
        <v>8.8054800158686604</v>
      </c>
      <c r="F92" s="6">
        <f>Parameters!$B$5</f>
        <v>5.5935987065355954</v>
      </c>
      <c r="G92" s="6">
        <f>Parameters!$B$6</f>
        <v>11.66576273922931</v>
      </c>
      <c r="H92" s="7">
        <f t="shared" si="8"/>
        <v>52.895167061358521</v>
      </c>
      <c r="I92" s="7">
        <f>'GDP Source - Filtered'!F92</f>
        <v>100</v>
      </c>
      <c r="J92" t="str">
        <f>'GDP Source - Filtered'!A92</f>
        <v>Paraguay</v>
      </c>
    </row>
    <row r="93" spans="1:10">
      <c r="A93">
        <f t="shared" si="6"/>
        <v>92</v>
      </c>
      <c r="B93" t="str">
        <f>'GDP Source - Filtered'!E93</f>
        <v>North Macedonia</v>
      </c>
      <c r="C93" t="str">
        <f>'GDP Source - Filtered'!B93</f>
        <v>MKD</v>
      </c>
      <c r="D93" s="5">
        <f>'GDP Source - Filtered'!D93</f>
        <v>6628.8468659999999</v>
      </c>
      <c r="E93" s="6">
        <f t="shared" si="7"/>
        <v>8.7991861413560741</v>
      </c>
      <c r="F93" s="6">
        <f>Parameters!$B$5</f>
        <v>5.5935987065355954</v>
      </c>
      <c r="G93" s="6">
        <f>Parameters!$B$6</f>
        <v>11.66576273922931</v>
      </c>
      <c r="H93" s="7">
        <f t="shared" si="8"/>
        <v>52.79151580163137</v>
      </c>
      <c r="I93" s="7">
        <f>'GDP Source - Filtered'!F93</f>
        <v>51.495742422296722</v>
      </c>
      <c r="J93" t="str">
        <f>'GDP Source - Filtered'!A93</f>
        <v>North Macedonia</v>
      </c>
    </row>
    <row r="94" spans="1:10">
      <c r="A94">
        <f t="shared" si="6"/>
        <v>93</v>
      </c>
      <c r="B94" t="str">
        <f>'GDP Source - Filtered'!E94</f>
        <v>Gabon</v>
      </c>
      <c r="C94" t="str">
        <f>'GDP Source - Filtered'!B94</f>
        <v>GAB</v>
      </c>
      <c r="D94" s="5">
        <f>'GDP Source - Filtered'!D94</f>
        <v>6618.9868589999996</v>
      </c>
      <c r="E94" s="6">
        <f t="shared" si="7"/>
        <v>8.7976975947717335</v>
      </c>
      <c r="F94" s="6">
        <f>Parameters!$B$5</f>
        <v>5.5935987065355954</v>
      </c>
      <c r="G94" s="6">
        <f>Parameters!$B$6</f>
        <v>11.66576273922931</v>
      </c>
      <c r="H94" s="7">
        <f t="shared" si="8"/>
        <v>52.767001533302548</v>
      </c>
      <c r="I94" s="7">
        <f>'GDP Source - Filtered'!F94</f>
        <v>100</v>
      </c>
      <c r="J94" t="str">
        <f>'GDP Source - Filtered'!A94</f>
        <v>Gabon</v>
      </c>
    </row>
    <row r="95" spans="1:10">
      <c r="A95">
        <f t="shared" si="6"/>
        <v>94</v>
      </c>
      <c r="B95" t="str">
        <f>'GDP Source - Filtered'!E95</f>
        <v>Thailand</v>
      </c>
      <c r="C95" t="str">
        <f>'GDP Source - Filtered'!B95</f>
        <v>THA</v>
      </c>
      <c r="D95" s="5">
        <f>'GDP Source - Filtered'!D95</f>
        <v>6616.5853930000003</v>
      </c>
      <c r="E95" s="6">
        <f t="shared" si="7"/>
        <v>8.7973347141979836</v>
      </c>
      <c r="F95" s="6">
        <f>Parameters!$B$5</f>
        <v>5.5935987065355954</v>
      </c>
      <c r="G95" s="6">
        <f>Parameters!$B$6</f>
        <v>11.66576273922931</v>
      </c>
      <c r="H95" s="7">
        <f t="shared" si="8"/>
        <v>52.761025400711333</v>
      </c>
      <c r="I95" s="7">
        <f>'GDP Source - Filtered'!F95</f>
        <v>59.579051378505987</v>
      </c>
      <c r="J95" t="str">
        <f>'GDP Source - Filtered'!A95</f>
        <v>Thailand</v>
      </c>
    </row>
    <row r="96" spans="1:10">
      <c r="A96">
        <f t="shared" si="6"/>
        <v>95</v>
      </c>
      <c r="B96" t="str">
        <f>'GDP Source - Filtered'!E96</f>
        <v>Georgia</v>
      </c>
      <c r="C96" t="str">
        <f>'GDP Source - Filtered'!B96</f>
        <v>GEO</v>
      </c>
      <c r="D96" s="5">
        <f>'GDP Source - Filtered'!D96</f>
        <v>6606.3577230000001</v>
      </c>
      <c r="E96" s="6">
        <f t="shared" si="7"/>
        <v>8.7957877557107675</v>
      </c>
      <c r="F96" s="6">
        <f>Parameters!$B$5</f>
        <v>5.5935987065355954</v>
      </c>
      <c r="G96" s="6">
        <f>Parameters!$B$6</f>
        <v>11.66576273922931</v>
      </c>
      <c r="H96" s="7">
        <f t="shared" si="8"/>
        <v>52.735549170509266</v>
      </c>
      <c r="I96" s="7">
        <f>'GDP Source - Filtered'!F96</f>
        <v>44.985932729102885</v>
      </c>
      <c r="J96" t="str">
        <f>'GDP Source - Filtered'!A96</f>
        <v>Georgia</v>
      </c>
    </row>
    <row r="97" spans="1:10">
      <c r="A97">
        <f t="shared" si="6"/>
        <v>96</v>
      </c>
      <c r="B97" t="str">
        <f>'GDP Source - Filtered'!E97</f>
        <v>Albania</v>
      </c>
      <c r="C97" t="str">
        <f>'GDP Source - Filtered'!B97</f>
        <v>ALB</v>
      </c>
      <c r="D97" s="5">
        <f>'GDP Source - Filtered'!D97</f>
        <v>6549.2338739999996</v>
      </c>
      <c r="E97" s="6">
        <f t="shared" si="7"/>
        <v>8.7871033559867389</v>
      </c>
      <c r="F97" s="6">
        <f>Parameters!$B$5</f>
        <v>5.5935987065355954</v>
      </c>
      <c r="G97" s="6">
        <f>Parameters!$B$6</f>
        <v>11.66576273922931</v>
      </c>
      <c r="H97" s="7">
        <f t="shared" si="8"/>
        <v>52.592529323264202</v>
      </c>
      <c r="I97" s="7">
        <f>'GDP Source - Filtered'!F97</f>
        <v>84.115137700257648</v>
      </c>
      <c r="J97" t="str">
        <f>'GDP Source - Filtered'!A97</f>
        <v>Albania</v>
      </c>
    </row>
    <row r="98" spans="1:10">
      <c r="A98">
        <f t="shared" ref="A98:A129" si="9">ROW()-1</f>
        <v>97</v>
      </c>
      <c r="B98" t="str">
        <f>'GDP Source - Filtered'!E98</f>
        <v>Belize</v>
      </c>
      <c r="C98" t="str">
        <f>'GDP Source - Filtered'!B98</f>
        <v>BLZ</v>
      </c>
      <c r="D98" s="5">
        <f>'GDP Source - Filtered'!D98</f>
        <v>6290.492945</v>
      </c>
      <c r="E98" s="6">
        <f t="shared" ref="E98:E129" si="10">LN(D98)</f>
        <v>8.746794716258087</v>
      </c>
      <c r="F98" s="6">
        <f>Parameters!$B$5</f>
        <v>5.5935987065355954</v>
      </c>
      <c r="G98" s="6">
        <f>Parameters!$B$6</f>
        <v>11.66576273922931</v>
      </c>
      <c r="H98" s="7">
        <f t="shared" ref="H98:H129" si="11">100*(E98-F98)/(G98-F98)</f>
        <v>51.928702728468295</v>
      </c>
      <c r="I98" s="7">
        <f>'GDP Source - Filtered'!F98</f>
        <v>48.982168910950165</v>
      </c>
      <c r="J98" t="str">
        <f>'GDP Source - Filtered'!A98</f>
        <v>Belize</v>
      </c>
    </row>
    <row r="99" spans="1:10">
      <c r="A99">
        <f t="shared" si="9"/>
        <v>98</v>
      </c>
      <c r="B99" t="str">
        <f>'GDP Source - Filtered'!E99</f>
        <v>Jamaica</v>
      </c>
      <c r="C99" t="str">
        <f>'GDP Source - Filtered'!B99</f>
        <v>JAM</v>
      </c>
      <c r="D99" s="5">
        <f>'GDP Source - Filtered'!D99</f>
        <v>6096.4327030000004</v>
      </c>
      <c r="E99" s="6">
        <f t="shared" si="10"/>
        <v>8.7154590763106725</v>
      </c>
      <c r="F99" s="6">
        <f>Parameters!$B$5</f>
        <v>5.5935987065355954</v>
      </c>
      <c r="G99" s="6">
        <f>Parameters!$B$6</f>
        <v>11.66576273922931</v>
      </c>
      <c r="H99" s="7">
        <f t="shared" si="11"/>
        <v>51.412648817890499</v>
      </c>
      <c r="I99" s="7">
        <f>'GDP Source - Filtered'!F99</f>
        <v>31.008342024661061</v>
      </c>
      <c r="J99" t="str">
        <f>'GDP Source - Filtered'!A99</f>
        <v>Jamaica</v>
      </c>
    </row>
    <row r="100" spans="1:10">
      <c r="A100">
        <f t="shared" si="9"/>
        <v>99</v>
      </c>
      <c r="B100" t="str">
        <f>'GDP Source - Filtered'!E100</f>
        <v>Ecuador</v>
      </c>
      <c r="C100" t="str">
        <f>'GDP Source - Filtered'!B100</f>
        <v>ECU</v>
      </c>
      <c r="D100" s="5">
        <f>'GDP Source - Filtered'!D100</f>
        <v>5993.7469780000001</v>
      </c>
      <c r="E100" s="6">
        <f t="shared" si="10"/>
        <v>8.6984720344397548</v>
      </c>
      <c r="F100" s="6">
        <f>Parameters!$B$5</f>
        <v>5.5935987065355954</v>
      </c>
      <c r="G100" s="6">
        <f>Parameters!$B$6</f>
        <v>11.66576273922931</v>
      </c>
      <c r="H100" s="7">
        <f t="shared" si="11"/>
        <v>51.132896133683424</v>
      </c>
      <c r="I100" s="7">
        <f>'GDP Source - Filtered'!F100</f>
        <v>100</v>
      </c>
      <c r="J100" t="str">
        <f>'GDP Source - Filtered'!A100</f>
        <v>Ecuador</v>
      </c>
    </row>
    <row r="101" spans="1:10">
      <c r="A101">
        <f t="shared" si="9"/>
        <v>100</v>
      </c>
      <c r="B101" t="str">
        <f>'GDP Source - Filtered'!E101</f>
        <v>Fiji</v>
      </c>
      <c r="C101" t="str">
        <f>'GDP Source - Filtered'!B101</f>
        <v>FJI</v>
      </c>
      <c r="D101" s="5">
        <f>'GDP Source - Filtered'!D101</f>
        <v>5935.2089569999998</v>
      </c>
      <c r="E101" s="6">
        <f t="shared" si="10"/>
        <v>8.6886575140061364</v>
      </c>
      <c r="F101" s="6">
        <f>Parameters!$B$5</f>
        <v>5.5935987065355954</v>
      </c>
      <c r="G101" s="6">
        <f>Parameters!$B$6</f>
        <v>11.66576273922931</v>
      </c>
      <c r="H101" s="7">
        <f t="shared" si="11"/>
        <v>50.971264788074585</v>
      </c>
      <c r="I101" s="7">
        <f>'GDP Source - Filtered'!F101</f>
        <v>38.389234882697899</v>
      </c>
      <c r="J101" t="str">
        <f>'GDP Source - Filtered'!A101</f>
        <v>Fiji</v>
      </c>
    </row>
    <row r="102" spans="1:10">
      <c r="A102">
        <f t="shared" si="9"/>
        <v>101</v>
      </c>
      <c r="B102" t="str">
        <f>'GDP Source - Filtered'!E102</f>
        <v>Azerbaijan</v>
      </c>
      <c r="C102" t="str">
        <f>'GDP Source - Filtered'!B102</f>
        <v>AZE</v>
      </c>
      <c r="D102" s="5">
        <f>'GDP Source - Filtered'!D102</f>
        <v>5876.0329549999997</v>
      </c>
      <c r="E102" s="6">
        <f t="shared" si="10"/>
        <v>8.678637145685121</v>
      </c>
      <c r="F102" s="6">
        <f>Parameters!$B$5</f>
        <v>5.5935987065355954</v>
      </c>
      <c r="G102" s="6">
        <f>Parameters!$B$6</f>
        <v>11.66576273922931</v>
      </c>
      <c r="H102" s="7">
        <f t="shared" si="11"/>
        <v>50.806243417323337</v>
      </c>
      <c r="I102" s="7">
        <f>'GDP Source - Filtered'!F102</f>
        <v>100</v>
      </c>
      <c r="J102" t="str">
        <f>'GDP Source - Filtered'!A102</f>
        <v>Azerbaijan</v>
      </c>
    </row>
    <row r="103" spans="1:10">
      <c r="A103">
        <f t="shared" si="9"/>
        <v>102</v>
      </c>
      <c r="B103" t="str">
        <f>'GDP Source - Filtered'!E103</f>
        <v>Iran</v>
      </c>
      <c r="C103" t="str">
        <f>'GDP Source - Filtered'!B103</f>
        <v>IRN</v>
      </c>
      <c r="D103" s="5">
        <f>'GDP Source - Filtered'!D103</f>
        <v>5834.4429689999997</v>
      </c>
      <c r="E103" s="6">
        <f t="shared" si="10"/>
        <v>8.671534076410488</v>
      </c>
      <c r="F103" s="6">
        <f>Parameters!$B$5</f>
        <v>5.5935987065355954</v>
      </c>
      <c r="G103" s="6">
        <f>Parameters!$B$6</f>
        <v>11.66576273922931</v>
      </c>
      <c r="H103" s="7">
        <f t="shared" si="11"/>
        <v>50.689265858146925</v>
      </c>
      <c r="I103" s="7">
        <f>'GDP Source - Filtered'!F103</f>
        <v>100</v>
      </c>
      <c r="J103" t="str">
        <f>'GDP Source - Filtered'!A103</f>
        <v>Iran, Islamic Rep.</v>
      </c>
    </row>
    <row r="104" spans="1:10">
      <c r="A104">
        <f t="shared" si="9"/>
        <v>103</v>
      </c>
      <c r="B104" t="str">
        <f>'GDP Source - Filtered'!E104</f>
        <v>South Africa</v>
      </c>
      <c r="C104" t="str">
        <f>'GDP Source - Filtered'!B104</f>
        <v>ZAF</v>
      </c>
      <c r="D104" s="5">
        <f>'GDP Source - Filtered'!D104</f>
        <v>5715.4753149999997</v>
      </c>
      <c r="E104" s="6">
        <f t="shared" si="10"/>
        <v>8.6509327424992843</v>
      </c>
      <c r="F104" s="6">
        <f>Parameters!$B$5</f>
        <v>5.5935987065355954</v>
      </c>
      <c r="G104" s="6">
        <f>Parameters!$B$6</f>
        <v>11.66576273922931</v>
      </c>
      <c r="H104" s="7">
        <f t="shared" si="11"/>
        <v>50.349990868204593</v>
      </c>
      <c r="I104" s="7">
        <f>'GDP Source - Filtered'!F104</f>
        <v>100</v>
      </c>
      <c r="J104" t="str">
        <f>'GDP Source - Filtered'!A104</f>
        <v>South Africa</v>
      </c>
    </row>
    <row r="105" spans="1:10">
      <c r="A105">
        <f t="shared" si="9"/>
        <v>104</v>
      </c>
      <c r="B105" t="str">
        <f>'GDP Source - Filtered'!E105</f>
        <v>Lebanon</v>
      </c>
      <c r="C105" t="str">
        <f>'GDP Source - Filtered'!B105</f>
        <v>LBN</v>
      </c>
      <c r="D105" s="5">
        <f>'GDP Source - Filtered'!D105</f>
        <v>5391.2291420000001</v>
      </c>
      <c r="E105" s="6">
        <f t="shared" si="10"/>
        <v>8.5925286790929878</v>
      </c>
      <c r="F105" s="6">
        <f>Parameters!$B$5</f>
        <v>5.5935987065355954</v>
      </c>
      <c r="G105" s="6">
        <f>Parameters!$B$6</f>
        <v>11.66576273922931</v>
      </c>
      <c r="H105" s="7">
        <f t="shared" si="11"/>
        <v>49.388158099988232</v>
      </c>
      <c r="I105" s="7">
        <f>'GDP Source - Filtered'!F105</f>
        <v>32.937449533694604</v>
      </c>
      <c r="J105" t="str">
        <f>'GDP Source - Filtered'!A105</f>
        <v>Lebanon</v>
      </c>
    </row>
    <row r="106" spans="1:10">
      <c r="A106">
        <f t="shared" si="9"/>
        <v>105</v>
      </c>
      <c r="B106" t="str">
        <f>'GDP Source - Filtered'!E106</f>
        <v>Armenia</v>
      </c>
      <c r="C106" t="str">
        <f>'GDP Source - Filtered'!B106</f>
        <v>ARM</v>
      </c>
      <c r="D106" s="5">
        <f>'GDP Source - Filtered'!D106</f>
        <v>5378.3180000000002</v>
      </c>
      <c r="E106" s="6">
        <f t="shared" si="10"/>
        <v>8.5901309648687381</v>
      </c>
      <c r="F106" s="6">
        <f>Parameters!$B$5</f>
        <v>5.5935987065355954</v>
      </c>
      <c r="G106" s="6">
        <f>Parameters!$B$6</f>
        <v>11.66576273922931</v>
      </c>
      <c r="H106" s="7">
        <f t="shared" si="11"/>
        <v>49.348671119542047</v>
      </c>
      <c r="I106" s="7">
        <f>'GDP Source - Filtered'!F106</f>
        <v>42.592748265264355</v>
      </c>
      <c r="J106" t="str">
        <f>'GDP Source - Filtered'!A106</f>
        <v>Armenia</v>
      </c>
    </row>
    <row r="107" spans="1:10">
      <c r="A107">
        <f t="shared" si="9"/>
        <v>106</v>
      </c>
      <c r="B107" t="str">
        <f>'GDP Source - Filtered'!E107</f>
        <v>Equatorial Guinea</v>
      </c>
      <c r="C107" t="str">
        <f>'GDP Source - Filtered'!B107</f>
        <v>GNQ</v>
      </c>
      <c r="D107" s="5">
        <f>'GDP Source - Filtered'!D107</f>
        <v>4892.9531049999996</v>
      </c>
      <c r="E107" s="6">
        <f t="shared" si="10"/>
        <v>8.4955513071434616</v>
      </c>
      <c r="F107" s="6">
        <f>Parameters!$B$5</f>
        <v>5.5935987065355954</v>
      </c>
      <c r="G107" s="6">
        <f>Parameters!$B$6</f>
        <v>11.66576273922931</v>
      </c>
      <c r="H107" s="7">
        <f t="shared" si="11"/>
        <v>47.791077200536542</v>
      </c>
      <c r="I107" s="7">
        <f>'GDP Source - Filtered'!F107</f>
        <v>100</v>
      </c>
      <c r="J107" t="str">
        <f>'GDP Source - Filtered'!A107</f>
        <v>Equatorial Guinea</v>
      </c>
    </row>
    <row r="108" spans="1:10">
      <c r="A108">
        <f t="shared" si="9"/>
        <v>107</v>
      </c>
      <c r="B108" t="str">
        <f>'GDP Source - Filtered'!E108</f>
        <v>Samoa</v>
      </c>
      <c r="C108" t="str">
        <f>'GDP Source - Filtered'!B108</f>
        <v>WSM</v>
      </c>
      <c r="D108" s="5">
        <f>'GDP Source - Filtered'!D108</f>
        <v>4880.5441799999999</v>
      </c>
      <c r="E108" s="6">
        <f t="shared" si="10"/>
        <v>8.4930120049252409</v>
      </c>
      <c r="F108" s="6">
        <f>Parameters!$B$5</f>
        <v>5.5935987065355954</v>
      </c>
      <c r="G108" s="6">
        <f>Parameters!$B$6</f>
        <v>11.66576273922931</v>
      </c>
      <c r="H108" s="7">
        <f t="shared" si="11"/>
        <v>47.749258464999286</v>
      </c>
      <c r="I108" s="7">
        <f>'GDP Source - Filtered'!F108</f>
        <v>32.303557135260739</v>
      </c>
      <c r="J108" t="str">
        <f>'GDP Source - Filtered'!A108</f>
        <v>Samoa</v>
      </c>
    </row>
    <row r="109" spans="1:10">
      <c r="A109">
        <f t="shared" si="9"/>
        <v>108</v>
      </c>
      <c r="B109" t="str">
        <f>'GDP Source - Filtered'!E109</f>
        <v>Tonga</v>
      </c>
      <c r="C109" t="str">
        <f>'GDP Source - Filtered'!B109</f>
        <v>TON</v>
      </c>
      <c r="D109" s="5">
        <f>'GDP Source - Filtered'!D109</f>
        <v>4779.9239989999996</v>
      </c>
      <c r="E109" s="6">
        <f t="shared" si="10"/>
        <v>8.4721799255683035</v>
      </c>
      <c r="F109" s="6">
        <f>Parameters!$B$5</f>
        <v>5.5935987065355954</v>
      </c>
      <c r="G109" s="6">
        <f>Parameters!$B$6</f>
        <v>11.66576273922931</v>
      </c>
      <c r="H109" s="7">
        <f t="shared" si="11"/>
        <v>47.406183422151734</v>
      </c>
      <c r="I109" s="7">
        <f>'GDP Source - Filtered'!F109</f>
        <v>27.985269821263447</v>
      </c>
      <c r="J109" t="str">
        <f>'GDP Source - Filtered'!A109</f>
        <v>Tonga</v>
      </c>
    </row>
    <row r="110" spans="1:10">
      <c r="A110">
        <f t="shared" si="9"/>
        <v>109</v>
      </c>
      <c r="B110" t="str">
        <f>'GDP Source - Filtered'!E110</f>
        <v>Algeria</v>
      </c>
      <c r="C110" t="str">
        <f>'GDP Source - Filtered'!B110</f>
        <v>DZA</v>
      </c>
      <c r="D110" s="5">
        <f>'GDP Source - Filtered'!D110</f>
        <v>4765.729002</v>
      </c>
      <c r="E110" s="6">
        <f t="shared" si="10"/>
        <v>8.4692057953622424</v>
      </c>
      <c r="F110" s="6">
        <f>Parameters!$B$5</f>
        <v>5.5935987065355954</v>
      </c>
      <c r="G110" s="6">
        <f>Parameters!$B$6</f>
        <v>11.66576273922931</v>
      </c>
      <c r="H110" s="7">
        <f t="shared" si="11"/>
        <v>47.357203681320499</v>
      </c>
      <c r="I110" s="7">
        <f>'GDP Source - Filtered'!F110</f>
        <v>100</v>
      </c>
      <c r="J110" t="str">
        <f>'GDP Source - Filtered'!A110</f>
        <v>Algeria</v>
      </c>
    </row>
    <row r="111" spans="1:10">
      <c r="A111">
        <f t="shared" si="9"/>
        <v>110</v>
      </c>
      <c r="B111" t="str">
        <f>'GDP Source - Filtered'!E111</f>
        <v>Mongolia</v>
      </c>
      <c r="C111" t="str">
        <f>'GDP Source - Filtered'!B111</f>
        <v>MNG</v>
      </c>
      <c r="D111" s="5">
        <f>'GDP Source - Filtered'!D111</f>
        <v>4626.796096</v>
      </c>
      <c r="E111" s="6">
        <f t="shared" si="10"/>
        <v>8.4396199196411725</v>
      </c>
      <c r="F111" s="6">
        <f>Parameters!$B$5</f>
        <v>5.5935987065355954</v>
      </c>
      <c r="G111" s="6">
        <f>Parameters!$B$6</f>
        <v>11.66576273922931</v>
      </c>
      <c r="H111" s="7">
        <f t="shared" si="11"/>
        <v>46.869965926184541</v>
      </c>
      <c r="I111" s="7">
        <f>'GDP Source - Filtered'!F111</f>
        <v>100</v>
      </c>
      <c r="J111" t="str">
        <f>'GDP Source - Filtered'!A111</f>
        <v>Mongolia</v>
      </c>
    </row>
    <row r="112" spans="1:10">
      <c r="A112">
        <f t="shared" si="9"/>
        <v>111</v>
      </c>
      <c r="B112" t="str">
        <f>'GDP Source - Filtered'!E112</f>
        <v>El Salvador</v>
      </c>
      <c r="C112" t="str">
        <f>'GDP Source - Filtered'!B112</f>
        <v>SLV</v>
      </c>
      <c r="D112" s="5">
        <f>'GDP Source - Filtered'!D112</f>
        <v>4576.5584660000004</v>
      </c>
      <c r="E112" s="6">
        <f t="shared" si="10"/>
        <v>8.4287025680081715</v>
      </c>
      <c r="F112" s="6">
        <f>Parameters!$B$5</f>
        <v>5.5935987065355954</v>
      </c>
      <c r="G112" s="6">
        <f>Parameters!$B$6</f>
        <v>11.66576273922931</v>
      </c>
      <c r="H112" s="7">
        <f t="shared" si="11"/>
        <v>46.690172502057337</v>
      </c>
      <c r="I112" s="7">
        <f>'GDP Source - Filtered'!F112</f>
        <v>38.185357174046253</v>
      </c>
      <c r="J112" t="str">
        <f>'GDP Source - Filtered'!A112</f>
        <v>El Salvador</v>
      </c>
    </row>
    <row r="113" spans="1:10">
      <c r="A113">
        <f t="shared" si="9"/>
        <v>112</v>
      </c>
      <c r="B113" t="str">
        <f>'GDP Source - Filtered'!E113</f>
        <v>Guatemala</v>
      </c>
      <c r="C113" t="str">
        <f>'GDP Source - Filtered'!B113</f>
        <v>GTM</v>
      </c>
      <c r="D113" s="5">
        <f>'GDP Source - Filtered'!D113</f>
        <v>4564.2137849999999</v>
      </c>
      <c r="E113" s="6">
        <f t="shared" si="10"/>
        <v>8.426001551471261</v>
      </c>
      <c r="F113" s="6">
        <f>Parameters!$B$5</f>
        <v>5.5935987065355954</v>
      </c>
      <c r="G113" s="6">
        <f>Parameters!$B$6</f>
        <v>11.66576273922931</v>
      </c>
      <c r="H113" s="7">
        <f t="shared" si="11"/>
        <v>46.645690559172259</v>
      </c>
      <c r="I113" s="7">
        <f>'GDP Source - Filtered'!F113</f>
        <v>40.086649494773994</v>
      </c>
      <c r="J113" t="str">
        <f>'GDP Source - Filtered'!A113</f>
        <v>Guatemala</v>
      </c>
    </row>
    <row r="114" spans="1:10">
      <c r="A114">
        <f t="shared" si="9"/>
        <v>113</v>
      </c>
      <c r="B114" t="str">
        <f>'GDP Source - Filtered'!E114</f>
        <v>Uzbekistan</v>
      </c>
      <c r="C114" t="str">
        <f>'GDP Source - Filtered'!B114</f>
        <v>UZB</v>
      </c>
      <c r="D114" s="5">
        <f>'GDP Source - Filtered'!D114</f>
        <v>4477.9074549999996</v>
      </c>
      <c r="E114" s="6">
        <f t="shared" si="10"/>
        <v>8.4069111303529152</v>
      </c>
      <c r="F114" s="6">
        <f>Parameters!$B$5</f>
        <v>5.5935987065355954</v>
      </c>
      <c r="G114" s="6">
        <f>Parameters!$B$6</f>
        <v>11.66576273922931</v>
      </c>
      <c r="H114" s="7">
        <f t="shared" si="11"/>
        <v>46.331298177550828</v>
      </c>
      <c r="I114" s="7">
        <f>'GDP Source - Filtered'!F114</f>
        <v>85.603306065345606</v>
      </c>
      <c r="J114" t="str">
        <f>'GDP Source - Filtered'!A114</f>
        <v>Uzbekistan</v>
      </c>
    </row>
    <row r="115" spans="1:10">
      <c r="A115">
        <f t="shared" si="9"/>
        <v>114</v>
      </c>
      <c r="B115" t="str">
        <f>'GDP Source - Filtered'!E115</f>
        <v>Jordan</v>
      </c>
      <c r="C115" t="str">
        <f>'GDP Source - Filtered'!B115</f>
        <v>JOR</v>
      </c>
      <c r="D115" s="5">
        <f>'GDP Source - Filtered'!D115</f>
        <v>4441.0397489999996</v>
      </c>
      <c r="E115" s="6">
        <f t="shared" si="10"/>
        <v>8.3986438057136557</v>
      </c>
      <c r="F115" s="6">
        <f>Parameters!$B$5</f>
        <v>5.5935987065355954</v>
      </c>
      <c r="G115" s="6">
        <f>Parameters!$B$6</f>
        <v>11.66576273922931</v>
      </c>
      <c r="H115" s="7">
        <f t="shared" si="11"/>
        <v>46.195146970258889</v>
      </c>
      <c r="I115" s="7">
        <f>'GDP Source - Filtered'!F115</f>
        <v>36.948258470429742</v>
      </c>
      <c r="J115" t="str">
        <f>'GDP Source - Filtered'!A115</f>
        <v>Jordan</v>
      </c>
    </row>
    <row r="116" spans="1:10">
      <c r="A116">
        <f t="shared" si="9"/>
        <v>115</v>
      </c>
      <c r="B116" t="str">
        <f>'GDP Source - Filtered'!E116</f>
        <v>Cabo Verde</v>
      </c>
      <c r="C116" t="str">
        <f>'GDP Source - Filtered'!B116</f>
        <v>CPV</v>
      </c>
      <c r="D116" s="5">
        <f>'GDP Source - Filtered'!D116</f>
        <v>4438.3874189999997</v>
      </c>
      <c r="E116" s="6">
        <f t="shared" si="10"/>
        <v>8.3980463955364666</v>
      </c>
      <c r="F116" s="6">
        <f>Parameters!$B$5</f>
        <v>5.5935987065355954</v>
      </c>
      <c r="G116" s="6">
        <f>Parameters!$B$6</f>
        <v>11.66576273922931</v>
      </c>
      <c r="H116" s="7">
        <f t="shared" si="11"/>
        <v>46.18530846500817</v>
      </c>
      <c r="I116" s="7">
        <f>'GDP Source - Filtered'!F116</f>
        <v>40.606542539960209</v>
      </c>
      <c r="J116" t="str">
        <f>'GDP Source - Filtered'!A116</f>
        <v>Cabo Verde</v>
      </c>
    </row>
    <row r="117" spans="1:10">
      <c r="A117">
        <f t="shared" si="9"/>
        <v>116</v>
      </c>
      <c r="B117" t="str">
        <f>'GDP Source - Filtered'!E117</f>
        <v>Indonesia</v>
      </c>
      <c r="C117" t="str">
        <f>'GDP Source - Filtered'!B117</f>
        <v>IDN</v>
      </c>
      <c r="D117" s="5">
        <f>'GDP Source - Filtered'!D117</f>
        <v>4367.9474179999997</v>
      </c>
      <c r="E117" s="6">
        <f t="shared" si="10"/>
        <v>8.3820484793486205</v>
      </c>
      <c r="F117" s="6">
        <f>Parameters!$B$5</f>
        <v>5.5935987065355954</v>
      </c>
      <c r="G117" s="6">
        <f>Parameters!$B$6</f>
        <v>11.66576273922931</v>
      </c>
      <c r="H117" s="7">
        <f t="shared" si="11"/>
        <v>45.921845289413604</v>
      </c>
      <c r="I117" s="7">
        <f>'GDP Source - Filtered'!F117</f>
        <v>100</v>
      </c>
      <c r="J117" t="str">
        <f>'GDP Source - Filtered'!A117</f>
        <v>Indonesia</v>
      </c>
    </row>
    <row r="118" spans="1:10">
      <c r="A118">
        <f t="shared" si="9"/>
        <v>117</v>
      </c>
      <c r="B118" t="str">
        <f>'GDP Source - Filtered'!E118</f>
        <v>Sri Lanka</v>
      </c>
      <c r="C118" t="str">
        <f>'GDP Source - Filtered'!B118</f>
        <v>LKA</v>
      </c>
      <c r="D118" s="5">
        <f>'GDP Source - Filtered'!D118</f>
        <v>4198.7451369999999</v>
      </c>
      <c r="E118" s="6">
        <f t="shared" si="10"/>
        <v>8.3425409827239854</v>
      </c>
      <c r="F118" s="6">
        <f>Parameters!$B$5</f>
        <v>5.5935987065355954</v>
      </c>
      <c r="G118" s="6">
        <f>Parameters!$B$6</f>
        <v>11.66576273922931</v>
      </c>
      <c r="H118" s="7">
        <f t="shared" si="11"/>
        <v>45.271212394585348</v>
      </c>
      <c r="I118" s="7">
        <f>'GDP Source - Filtered'!F118</f>
        <v>44.776384019955074</v>
      </c>
      <c r="J118" t="str">
        <f>'GDP Source - Filtered'!A118</f>
        <v>Sri Lanka</v>
      </c>
    </row>
    <row r="119" spans="1:10">
      <c r="A119">
        <f t="shared" si="9"/>
        <v>118</v>
      </c>
      <c r="B119" t="str">
        <f>'GDP Source - Filtered'!E119</f>
        <v>Iraq</v>
      </c>
      <c r="C119" t="str">
        <f>'GDP Source - Filtered'!B119</f>
        <v>IRQ</v>
      </c>
      <c r="D119" s="5">
        <f>'GDP Source - Filtered'!D119</f>
        <v>4180.2961949999999</v>
      </c>
      <c r="E119" s="6">
        <f t="shared" si="10"/>
        <v>8.3381373830561945</v>
      </c>
      <c r="F119" s="6">
        <f>Parameters!$B$5</f>
        <v>5.5935987065355954</v>
      </c>
      <c r="G119" s="6">
        <f>Parameters!$B$6</f>
        <v>11.66576273922931</v>
      </c>
      <c r="H119" s="7">
        <f t="shared" si="11"/>
        <v>45.198691302531813</v>
      </c>
      <c r="I119" s="7">
        <f>'GDP Source - Filtered'!F119</f>
        <v>100</v>
      </c>
      <c r="J119" t="str">
        <f>'GDP Source - Filtered'!A119</f>
        <v>Iraq</v>
      </c>
    </row>
    <row r="120" spans="1:10">
      <c r="A120">
        <f t="shared" si="9"/>
        <v>119</v>
      </c>
      <c r="B120" t="str">
        <f>'GDP Source - Filtered'!E120</f>
        <v>Egypt</v>
      </c>
      <c r="C120" t="str">
        <f>'GDP Source - Filtered'!B120</f>
        <v>EGY</v>
      </c>
      <c r="D120" s="5">
        <f>'GDP Source - Filtered'!D120</f>
        <v>4137.6092920000001</v>
      </c>
      <c r="E120" s="6">
        <f t="shared" si="10"/>
        <v>8.3278734343213436</v>
      </c>
      <c r="F120" s="6">
        <f>Parameters!$B$5</f>
        <v>5.5935987065355954</v>
      </c>
      <c r="G120" s="6">
        <f>Parameters!$B$6</f>
        <v>11.66576273922931</v>
      </c>
      <c r="H120" s="7">
        <f t="shared" si="11"/>
        <v>45.029658505005472</v>
      </c>
      <c r="I120" s="7">
        <f>'GDP Source - Filtered'!F120</f>
        <v>82.51499266704883</v>
      </c>
      <c r="J120" t="str">
        <f>'GDP Source - Filtered'!A120</f>
        <v>Egypt, Arab Rep.</v>
      </c>
    </row>
    <row r="121" spans="1:10">
      <c r="A121">
        <f t="shared" si="9"/>
        <v>120</v>
      </c>
      <c r="B121" t="str">
        <f>'GDP Source - Filtered'!E121</f>
        <v>Namibia</v>
      </c>
      <c r="C121" t="str">
        <f>'GDP Source - Filtered'!B121</f>
        <v>NAM</v>
      </c>
      <c r="D121" s="5">
        <f>'GDP Source - Filtered'!D121</f>
        <v>4032.401507</v>
      </c>
      <c r="E121" s="6">
        <f t="shared" si="10"/>
        <v>8.3021173849025622</v>
      </c>
      <c r="F121" s="6">
        <f>Parameters!$B$5</f>
        <v>5.5935987065355954</v>
      </c>
      <c r="G121" s="6">
        <f>Parameters!$B$6</f>
        <v>11.66576273922931</v>
      </c>
      <c r="H121" s="7">
        <f t="shared" si="11"/>
        <v>44.605492601711255</v>
      </c>
      <c r="I121" s="7">
        <f>'GDP Source - Filtered'!F121</f>
        <v>44.806905035898794</v>
      </c>
      <c r="J121" t="str">
        <f>'GDP Source - Filtered'!A121</f>
        <v>Namibia</v>
      </c>
    </row>
    <row r="122" spans="1:10">
      <c r="A122">
        <f t="shared" si="9"/>
        <v>121</v>
      </c>
      <c r="B122" t="str">
        <f>'GDP Source - Filtered'!E122</f>
        <v>Viet Nam</v>
      </c>
      <c r="C122" t="str">
        <f>'GDP Source - Filtered'!B122</f>
        <v>VNM</v>
      </c>
      <c r="D122" s="5">
        <f>'GDP Source - Filtered'!D122</f>
        <v>4012.507799</v>
      </c>
      <c r="E122" s="6">
        <f t="shared" si="10"/>
        <v>8.2971717111123944</v>
      </c>
      <c r="F122" s="6">
        <f>Parameters!$B$5</f>
        <v>5.5935987065355954</v>
      </c>
      <c r="G122" s="6">
        <f>Parameters!$B$6</f>
        <v>11.66576273922931</v>
      </c>
      <c r="H122" s="7">
        <f t="shared" si="11"/>
        <v>44.524044311389403</v>
      </c>
      <c r="I122" s="7">
        <f>'GDP Source - Filtered'!F122</f>
        <v>72.852355517676656</v>
      </c>
      <c r="J122" t="str">
        <f>'GDP Source - Filtered'!A122</f>
        <v>Viet Nam</v>
      </c>
    </row>
    <row r="123" spans="1:10">
      <c r="A123">
        <f t="shared" si="9"/>
        <v>122</v>
      </c>
      <c r="B123" t="str">
        <f>'GDP Source - Filtered'!E123</f>
        <v>Tunisia</v>
      </c>
      <c r="C123" t="str">
        <f>'GDP Source - Filtered'!B123</f>
        <v>TUN</v>
      </c>
      <c r="D123" s="5">
        <f>'GDP Source - Filtered'!D123</f>
        <v>4006.2058830000001</v>
      </c>
      <c r="E123" s="6">
        <f t="shared" si="10"/>
        <v>8.2955999085646646</v>
      </c>
      <c r="F123" s="6">
        <f>Parameters!$B$5</f>
        <v>5.5935987065355954</v>
      </c>
      <c r="G123" s="6">
        <f>Parameters!$B$6</f>
        <v>11.66576273922931</v>
      </c>
      <c r="H123" s="7">
        <f t="shared" si="11"/>
        <v>44.498158934458431</v>
      </c>
      <c r="I123" s="7">
        <f>'GDP Source - Filtered'!F123</f>
        <v>49.097910208063425</v>
      </c>
      <c r="J123" t="str">
        <f>'GDP Source - Filtered'!A123</f>
        <v>Tunisia</v>
      </c>
    </row>
    <row r="124" spans="1:10">
      <c r="A124">
        <f t="shared" si="9"/>
        <v>123</v>
      </c>
      <c r="B124" t="str">
        <f>'GDP Source - Filtered'!E124</f>
        <v>Philippines</v>
      </c>
      <c r="C124" t="str">
        <f>'GDP Source - Filtered'!B124</f>
        <v>PHL</v>
      </c>
      <c r="D124" s="5">
        <f>'GDP Source - Filtered'!D124</f>
        <v>3926.1490090000002</v>
      </c>
      <c r="E124" s="6">
        <f t="shared" si="10"/>
        <v>8.2754143285226771</v>
      </c>
      <c r="F124" s="6">
        <f>Parameters!$B$5</f>
        <v>5.5935987065355954</v>
      </c>
      <c r="G124" s="6">
        <f>Parameters!$B$6</f>
        <v>11.66576273922931</v>
      </c>
      <c r="H124" s="7">
        <f t="shared" si="11"/>
        <v>44.165730825907595</v>
      </c>
      <c r="I124" s="7">
        <f>'GDP Source - Filtered'!F124</f>
        <v>49.884799144197331</v>
      </c>
      <c r="J124" t="str">
        <f>'GDP Source - Filtered'!A124</f>
        <v>Philippines</v>
      </c>
    </row>
    <row r="125" spans="1:10">
      <c r="A125">
        <f t="shared" si="9"/>
        <v>124</v>
      </c>
      <c r="B125" t="str">
        <f>'GDP Source - Filtered'!E125</f>
        <v>Eswatini</v>
      </c>
      <c r="C125" t="str">
        <f>'GDP Source - Filtered'!B125</f>
        <v>SWZ</v>
      </c>
      <c r="D125" s="5">
        <f>'GDP Source - Filtered'!D125</f>
        <v>3866.371279</v>
      </c>
      <c r="E125" s="6">
        <f t="shared" si="10"/>
        <v>8.2600716921461554</v>
      </c>
      <c r="F125" s="6">
        <f>Parameters!$B$5</f>
        <v>5.5935987065355954</v>
      </c>
      <c r="G125" s="6">
        <f>Parameters!$B$6</f>
        <v>11.66576273922931</v>
      </c>
      <c r="H125" s="7">
        <f t="shared" si="11"/>
        <v>43.913059187033653</v>
      </c>
      <c r="I125" s="7">
        <f>'GDP Source - Filtered'!F125</f>
        <v>59.329804566812662</v>
      </c>
      <c r="J125" t="str">
        <f>'GDP Source - Filtered'!A125</f>
        <v>Eswatini</v>
      </c>
    </row>
    <row r="126" spans="1:10">
      <c r="A126">
        <f t="shared" si="9"/>
        <v>125</v>
      </c>
      <c r="B126" t="str">
        <f>'GDP Source - Filtered'!E126</f>
        <v>Rep. of Moldova</v>
      </c>
      <c r="C126" t="str">
        <f>'GDP Source - Filtered'!B126</f>
        <v>MDA</v>
      </c>
      <c r="D126" s="5">
        <f>'GDP Source - Filtered'!D126</f>
        <v>3855.5694039999998</v>
      </c>
      <c r="E126" s="6">
        <f t="shared" si="10"/>
        <v>8.2572739804078417</v>
      </c>
      <c r="F126" s="6">
        <f>Parameters!$B$5</f>
        <v>5.5935987065355954</v>
      </c>
      <c r="G126" s="6">
        <f>Parameters!$B$6</f>
        <v>11.66576273922931</v>
      </c>
      <c r="H126" s="7">
        <f t="shared" si="11"/>
        <v>43.866984810201103</v>
      </c>
      <c r="I126" s="7">
        <f>'GDP Source - Filtered'!F126</f>
        <v>31.423659422955751</v>
      </c>
      <c r="J126" t="str">
        <f>'GDP Source - Filtered'!A126</f>
        <v>Moldova</v>
      </c>
    </row>
    <row r="127" spans="1:10">
      <c r="A127">
        <f t="shared" si="9"/>
        <v>126</v>
      </c>
      <c r="B127" t="str">
        <f>'GDP Source - Filtered'!E127</f>
        <v>Bhutan</v>
      </c>
      <c r="C127" t="str">
        <f>'GDP Source - Filtered'!B127</f>
        <v>BTN</v>
      </c>
      <c r="D127" s="5">
        <f>'GDP Source - Filtered'!D127</f>
        <v>3717.2105310000002</v>
      </c>
      <c r="E127" s="6">
        <f t="shared" si="10"/>
        <v>8.2207288087255499</v>
      </c>
      <c r="F127" s="6">
        <f>Parameters!$B$5</f>
        <v>5.5935987065355954</v>
      </c>
      <c r="G127" s="6">
        <f>Parameters!$B$6</f>
        <v>11.66576273922931</v>
      </c>
      <c r="H127" s="7">
        <f t="shared" si="11"/>
        <v>43.265137240116935</v>
      </c>
      <c r="I127" s="7">
        <f>'GDP Source - Filtered'!F127</f>
        <v>74.161990842641586</v>
      </c>
      <c r="J127" t="str">
        <f>'GDP Source - Filtered'!A127</f>
        <v>Bhutan</v>
      </c>
    </row>
    <row r="128" spans="1:10">
      <c r="A128">
        <f t="shared" si="9"/>
        <v>127</v>
      </c>
      <c r="B128" t="str">
        <f>'GDP Source - Filtered'!E128</f>
        <v>Morocco</v>
      </c>
      <c r="C128" t="str">
        <f>'GDP Source - Filtered'!B128</f>
        <v>MAR</v>
      </c>
      <c r="D128" s="5">
        <f>'GDP Source - Filtered'!D128</f>
        <v>3516.1540530000002</v>
      </c>
      <c r="E128" s="6">
        <f t="shared" si="10"/>
        <v>8.1651230726916424</v>
      </c>
      <c r="F128" s="6">
        <f>Parameters!$B$5</f>
        <v>5.5935987065355954</v>
      </c>
      <c r="G128" s="6">
        <f>Parameters!$B$6</f>
        <v>11.66576273922931</v>
      </c>
      <c r="H128" s="7">
        <f t="shared" si="11"/>
        <v>42.349388987360335</v>
      </c>
      <c r="I128" s="7">
        <f>'GDP Source - Filtered'!F128</f>
        <v>38.177987871169037</v>
      </c>
      <c r="J128" t="str">
        <f>'GDP Source - Filtered'!A128</f>
        <v>Morocco</v>
      </c>
    </row>
    <row r="129" spans="1:10">
      <c r="A129">
        <f t="shared" si="9"/>
        <v>128</v>
      </c>
      <c r="B129" t="str">
        <f>'GDP Source - Filtered'!E129</f>
        <v>Djibouti</v>
      </c>
      <c r="C129" t="str">
        <f>'GDP Source - Filtered'!B129</f>
        <v>DJI</v>
      </c>
      <c r="D129" s="5">
        <f>'GDP Source - Filtered'!D129</f>
        <v>3290.4248210000001</v>
      </c>
      <c r="E129" s="6">
        <f t="shared" si="10"/>
        <v>8.0987719603475234</v>
      </c>
      <c r="F129" s="6">
        <f>Parameters!$B$5</f>
        <v>5.5935987065355954</v>
      </c>
      <c r="G129" s="6">
        <f>Parameters!$B$6</f>
        <v>11.66576273922931</v>
      </c>
      <c r="H129" s="7">
        <f t="shared" si="11"/>
        <v>41.256679502127859</v>
      </c>
      <c r="I129" s="7">
        <f>'GDP Source - Filtered'!F129</f>
        <v>23.957503617550337</v>
      </c>
      <c r="J129" t="str">
        <f>'GDP Source - Filtered'!A129</f>
        <v>Djibouti</v>
      </c>
    </row>
    <row r="130" spans="1:10">
      <c r="A130">
        <f t="shared" ref="A130:A161" si="12">ROW()-1</f>
        <v>129</v>
      </c>
      <c r="B130" t="str">
        <f>'GDP Source - Filtered'!E130</f>
        <v>Vanuatu</v>
      </c>
      <c r="C130" t="str">
        <f>'GDP Source - Filtered'!B130</f>
        <v>VUT</v>
      </c>
      <c r="D130" s="5">
        <f>'GDP Source - Filtered'!D130</f>
        <v>3223.8523799999998</v>
      </c>
      <c r="E130" s="6">
        <f t="shared" ref="E130:E161" si="13">LN(D130)</f>
        <v>8.0783323147370325</v>
      </c>
      <c r="F130" s="6">
        <f>Parameters!$B$5</f>
        <v>5.5935987065355954</v>
      </c>
      <c r="G130" s="6">
        <f>Parameters!$B$6</f>
        <v>11.66576273922931</v>
      </c>
      <c r="H130" s="7">
        <f t="shared" ref="H130:H161" si="14">100*(E130-F130)/(G130-F130)</f>
        <v>40.920067291053854</v>
      </c>
      <c r="I130" s="7">
        <f>'GDP Source - Filtered'!F130</f>
        <v>36.67478855600298</v>
      </c>
      <c r="J130" t="str">
        <f>'GDP Source - Filtered'!A130</f>
        <v>Vanuatu</v>
      </c>
    </row>
    <row r="131" spans="1:10">
      <c r="A131">
        <f t="shared" si="12"/>
        <v>130</v>
      </c>
      <c r="B131" t="str">
        <f>'GDP Source - Filtered'!E131</f>
        <v>Bolivia (Plurinational State of)</v>
      </c>
      <c r="C131" t="str">
        <f>'GDP Source - Filtered'!B131</f>
        <v>BOL</v>
      </c>
      <c r="D131" s="5">
        <f>'GDP Source - Filtered'!D131</f>
        <v>3045.6147660000001</v>
      </c>
      <c r="E131" s="6">
        <f t="shared" si="13"/>
        <v>8.0214580533622879</v>
      </c>
      <c r="F131" s="6">
        <f>Parameters!$B$5</f>
        <v>5.5935987065355954</v>
      </c>
      <c r="G131" s="6">
        <f>Parameters!$B$6</f>
        <v>11.66576273922931</v>
      </c>
      <c r="H131" s="7">
        <f t="shared" si="14"/>
        <v>39.983428210348478</v>
      </c>
      <c r="I131" s="7">
        <f>'GDP Source - Filtered'!F131</f>
        <v>100</v>
      </c>
      <c r="J131" t="str">
        <f>'GDP Source - Filtered'!A131</f>
        <v>Bolivia</v>
      </c>
    </row>
    <row r="132" spans="1:10">
      <c r="A132">
        <f t="shared" si="12"/>
        <v>131</v>
      </c>
      <c r="B132" t="str">
        <f>'GDP Source - Filtered'!E132</f>
        <v>FS Micronesia</v>
      </c>
      <c r="C132" t="str">
        <f>'GDP Source - Filtered'!B132</f>
        <v>FSM</v>
      </c>
      <c r="D132" s="5">
        <f>'GDP Source - Filtered'!D132</f>
        <v>3001.7966970000002</v>
      </c>
      <c r="E132" s="6">
        <f t="shared" si="13"/>
        <v>8.0069662873818128</v>
      </c>
      <c r="F132" s="6">
        <f>Parameters!$B$5</f>
        <v>5.5935987065355954</v>
      </c>
      <c r="G132" s="6">
        <f>Parameters!$B$6</f>
        <v>11.66576273922931</v>
      </c>
      <c r="H132" s="7">
        <f t="shared" si="14"/>
        <v>39.744769209991304</v>
      </c>
      <c r="I132" s="7">
        <f>'GDP Source - Filtered'!F132</f>
        <v>40.228422238395801</v>
      </c>
      <c r="J132" t="str">
        <f>'GDP Source - Filtered'!A132</f>
        <v>Micronesia, Fed. Sts.</v>
      </c>
    </row>
    <row r="133" spans="1:10">
      <c r="A133">
        <f t="shared" si="12"/>
        <v>132</v>
      </c>
      <c r="B133" t="str">
        <f>'GDP Source - Filtered'!E133</f>
        <v>Angola</v>
      </c>
      <c r="C133" t="str">
        <f>'GDP Source - Filtered'!B133</f>
        <v>AGO</v>
      </c>
      <c r="D133" s="5">
        <f>'GDP Source - Filtered'!D133</f>
        <v>2798.5939279999998</v>
      </c>
      <c r="E133" s="6">
        <f t="shared" si="13"/>
        <v>7.9368724014630025</v>
      </c>
      <c r="F133" s="6">
        <f>Parameters!$B$5</f>
        <v>5.5935987065355954</v>
      </c>
      <c r="G133" s="6">
        <f>Parameters!$B$6</f>
        <v>11.66576273922931</v>
      </c>
      <c r="H133" s="7">
        <f t="shared" si="14"/>
        <v>38.590421508884887</v>
      </c>
      <c r="I133" s="7">
        <f>'GDP Source - Filtered'!F133</f>
        <v>100</v>
      </c>
      <c r="J133" t="str">
        <f>'GDP Source - Filtered'!A133</f>
        <v>Angola</v>
      </c>
    </row>
    <row r="134" spans="1:10">
      <c r="A134">
        <f t="shared" si="12"/>
        <v>133</v>
      </c>
      <c r="B134" t="str">
        <f>'GDP Source - Filtered'!E134</f>
        <v>Lao People's Dem. Rep.</v>
      </c>
      <c r="C134" t="str">
        <f>'GDP Source - Filtered'!B134</f>
        <v>LAO</v>
      </c>
      <c r="D134" s="5">
        <f>'GDP Source - Filtered'!D134</f>
        <v>2721.0781069999998</v>
      </c>
      <c r="E134" s="6">
        <f t="shared" si="13"/>
        <v>7.9087834436266791</v>
      </c>
      <c r="F134" s="6">
        <f>Parameters!$B$5</f>
        <v>5.5935987065355954</v>
      </c>
      <c r="G134" s="6">
        <f>Parameters!$B$6</f>
        <v>11.66576273922931</v>
      </c>
      <c r="H134" s="7">
        <f t="shared" si="14"/>
        <v>38.12783588561966</v>
      </c>
      <c r="I134" s="7">
        <f>'GDP Source - Filtered'!F134</f>
        <v>100</v>
      </c>
      <c r="J134" t="str">
        <f>'GDP Source - Filtered'!A134</f>
        <v>Lao PDR</v>
      </c>
    </row>
    <row r="135" spans="1:10">
      <c r="A135">
        <f t="shared" si="12"/>
        <v>134</v>
      </c>
      <c r="B135" t="str">
        <f>'GDP Source - Filtered'!E135</f>
        <v>Honduras</v>
      </c>
      <c r="C135" t="str">
        <f>'GDP Source - Filtered'!B135</f>
        <v>HND</v>
      </c>
      <c r="D135" s="5">
        <f>'GDP Source - Filtered'!D135</f>
        <v>2575.3208119999999</v>
      </c>
      <c r="E135" s="6">
        <f t="shared" si="13"/>
        <v>7.8537293925219638</v>
      </c>
      <c r="F135" s="6">
        <f>Parameters!$B$5</f>
        <v>5.5935987065355954</v>
      </c>
      <c r="G135" s="6">
        <f>Parameters!$B$6</f>
        <v>11.66576273922931</v>
      </c>
      <c r="H135" s="7">
        <f t="shared" si="14"/>
        <v>37.221173107600265</v>
      </c>
      <c r="I135" s="7">
        <f>'GDP Source - Filtered'!F135</f>
        <v>32.644305739004643</v>
      </c>
      <c r="J135" t="str">
        <f>'GDP Source - Filtered'!A135</f>
        <v>Honduras</v>
      </c>
    </row>
    <row r="136" spans="1:10">
      <c r="A136">
        <f t="shared" si="12"/>
        <v>135</v>
      </c>
      <c r="B136" t="str">
        <f>'GDP Source - Filtered'!E136</f>
        <v>Papua New Guinea</v>
      </c>
      <c r="C136" t="str">
        <f>'GDP Source - Filtered'!B136</f>
        <v>PNG</v>
      </c>
      <c r="D136" s="5">
        <f>'GDP Source - Filtered'!D136</f>
        <v>2566.9106710000001</v>
      </c>
      <c r="E136" s="6">
        <f t="shared" si="13"/>
        <v>7.8504583812784974</v>
      </c>
      <c r="F136" s="6">
        <f>Parameters!$B$5</f>
        <v>5.5935987065355954</v>
      </c>
      <c r="G136" s="6">
        <f>Parameters!$B$6</f>
        <v>11.66576273922931</v>
      </c>
      <c r="H136" s="7">
        <f t="shared" si="14"/>
        <v>37.167304153700883</v>
      </c>
      <c r="I136" s="7">
        <f>'GDP Source - Filtered'!F136</f>
        <v>100</v>
      </c>
      <c r="J136" t="str">
        <f>'GDP Source - Filtered'!A136</f>
        <v>Papua New Guinea</v>
      </c>
    </row>
    <row r="137" spans="1:10">
      <c r="A137">
        <f t="shared" si="12"/>
        <v>136</v>
      </c>
      <c r="B137" t="str">
        <f>'GDP Source - Filtered'!E137</f>
        <v>CÃ´te d'Ivoire</v>
      </c>
      <c r="C137" t="str">
        <f>'GDP Source - Filtered'!B137</f>
        <v>CIV</v>
      </c>
      <c r="D137" s="5">
        <f>'GDP Source - Filtered'!D137</f>
        <v>2395.6591699999999</v>
      </c>
      <c r="E137" s="6">
        <f t="shared" si="13"/>
        <v>7.7814136995342711</v>
      </c>
      <c r="F137" s="6">
        <f>Parameters!$B$5</f>
        <v>5.5935987065355954</v>
      </c>
      <c r="G137" s="6">
        <f>Parameters!$B$6</f>
        <v>11.66576273922931</v>
      </c>
      <c r="H137" s="7">
        <f t="shared" si="14"/>
        <v>36.030235369450715</v>
      </c>
      <c r="I137" s="7">
        <f>'GDP Source - Filtered'!F137</f>
        <v>75.164047467392948</v>
      </c>
      <c r="J137" t="str">
        <f>'GDP Source - Filtered'!A137</f>
        <v>Cote d'Ivoire</v>
      </c>
    </row>
    <row r="138" spans="1:10">
      <c r="A138">
        <f t="shared" si="12"/>
        <v>137</v>
      </c>
      <c r="B138" t="str">
        <f>'GDP Source - Filtered'!E138</f>
        <v>India</v>
      </c>
      <c r="C138" t="str">
        <f>'GDP Source - Filtered'!B138</f>
        <v>IND</v>
      </c>
      <c r="D138" s="5">
        <f>'GDP Source - Filtered'!D138</f>
        <v>2366.832891</v>
      </c>
      <c r="E138" s="6">
        <f t="shared" si="13"/>
        <v>7.7693080075286929</v>
      </c>
      <c r="F138" s="6">
        <f>Parameters!$B$5</f>
        <v>5.5935987065355954</v>
      </c>
      <c r="G138" s="6">
        <f>Parameters!$B$6</f>
        <v>11.66576273922931</v>
      </c>
      <c r="H138" s="7">
        <f t="shared" si="14"/>
        <v>35.83087165100703</v>
      </c>
      <c r="I138" s="7">
        <f>'GDP Source - Filtered'!F138</f>
        <v>73.304869471077836</v>
      </c>
      <c r="J138" t="str">
        <f>'GDP Source - Filtered'!A138</f>
        <v>India</v>
      </c>
    </row>
    <row r="139" spans="1:10">
      <c r="A139">
        <f t="shared" si="12"/>
        <v>138</v>
      </c>
      <c r="B139" t="str">
        <f>'GDP Source - Filtered'!E139</f>
        <v>Nigeria</v>
      </c>
      <c r="C139" t="str">
        <f>'GDP Source - Filtered'!B139</f>
        <v>NGA</v>
      </c>
      <c r="D139" s="5">
        <f>'GDP Source - Filtered'!D139</f>
        <v>2324.5970240000001</v>
      </c>
      <c r="E139" s="6">
        <f t="shared" si="13"/>
        <v>7.7513019799885354</v>
      </c>
      <c r="F139" s="6">
        <f>Parameters!$B$5</f>
        <v>5.5935987065355954</v>
      </c>
      <c r="G139" s="6">
        <f>Parameters!$B$6</f>
        <v>11.66576273922931</v>
      </c>
      <c r="H139" s="7">
        <f t="shared" si="14"/>
        <v>35.534337706218821</v>
      </c>
      <c r="I139" s="7">
        <f>'GDP Source - Filtered'!F139</f>
        <v>100</v>
      </c>
      <c r="J139" t="str">
        <f>'GDP Source - Filtered'!A139</f>
        <v>Nigeria</v>
      </c>
    </row>
    <row r="140" spans="1:10">
      <c r="A140">
        <f t="shared" si="12"/>
        <v>139</v>
      </c>
      <c r="B140" t="str">
        <f>'GDP Source - Filtered'!E140</f>
        <v>Nicaragua</v>
      </c>
      <c r="C140" t="str">
        <f>'GDP Source - Filtered'!B140</f>
        <v>NIC</v>
      </c>
      <c r="D140" s="5">
        <f>'GDP Source - Filtered'!D140</f>
        <v>2290.3199199999999</v>
      </c>
      <c r="E140" s="6">
        <f t="shared" si="13"/>
        <v>7.7364467898474905</v>
      </c>
      <c r="F140" s="6">
        <f>Parameters!$B$5</f>
        <v>5.5935987065355954</v>
      </c>
      <c r="G140" s="6">
        <f>Parameters!$B$6</f>
        <v>11.66576273922931</v>
      </c>
      <c r="H140" s="7">
        <f t="shared" si="14"/>
        <v>35.289693621160161</v>
      </c>
      <c r="I140" s="7">
        <f>'GDP Source - Filtered'!F140</f>
        <v>37.08566826751786</v>
      </c>
      <c r="J140" t="str">
        <f>'GDP Source - Filtered'!A140</f>
        <v>Nicaragua</v>
      </c>
    </row>
    <row r="141" spans="1:10">
      <c r="A141">
        <f t="shared" si="12"/>
        <v>140</v>
      </c>
      <c r="B141" t="str">
        <f>'GDP Source - Filtered'!E141</f>
        <v>State of Palestine</v>
      </c>
      <c r="C141" t="str">
        <f>'GDP Source - Filtered'!B141</f>
        <v>PSE</v>
      </c>
      <c r="D141" s="5">
        <f>'GDP Source - Filtered'!D141</f>
        <v>2258.206987</v>
      </c>
      <c r="E141" s="6">
        <f t="shared" si="13"/>
        <v>7.7223264087988488</v>
      </c>
      <c r="F141" s="6">
        <f>Parameters!$B$5</f>
        <v>5.5935987065355954</v>
      </c>
      <c r="G141" s="6">
        <f>Parameters!$B$6</f>
        <v>11.66576273922931</v>
      </c>
      <c r="H141" s="7">
        <f t="shared" si="14"/>
        <v>35.057150808208881</v>
      </c>
      <c r="I141" s="7">
        <f>'GDP Source - Filtered'!F141</f>
        <v>25.841649501298324</v>
      </c>
      <c r="J141" t="str">
        <f>'GDP Source - Filtered'!A141</f>
        <v>West Bank and Gaza</v>
      </c>
    </row>
    <row r="142" spans="1:10">
      <c r="A142">
        <f t="shared" si="12"/>
        <v>141</v>
      </c>
      <c r="B142" t="str">
        <f>'GDP Source - Filtered'!E142</f>
        <v>Ukraine</v>
      </c>
      <c r="C142" t="str">
        <f>'GDP Source - Filtered'!B142</f>
        <v>UKR</v>
      </c>
      <c r="D142" s="5">
        <f>'GDP Source - Filtered'!D142</f>
        <v>2226.0581050000001</v>
      </c>
      <c r="E142" s="6">
        <f t="shared" si="13"/>
        <v>7.7079876343699283</v>
      </c>
      <c r="F142" s="6">
        <f>Parameters!$B$5</f>
        <v>5.5935987065355954</v>
      </c>
      <c r="G142" s="6">
        <f>Parameters!$B$6</f>
        <v>11.66576273922931</v>
      </c>
      <c r="H142" s="7">
        <f t="shared" si="14"/>
        <v>34.821011363494975</v>
      </c>
      <c r="I142" s="7">
        <f>'GDP Source - Filtered'!F142</f>
        <v>82.910622977571066</v>
      </c>
      <c r="J142" t="str">
        <f>'GDP Source - Filtered'!A142</f>
        <v>Ukraine</v>
      </c>
    </row>
    <row r="143" spans="1:10">
      <c r="A143">
        <f t="shared" si="12"/>
        <v>142</v>
      </c>
      <c r="B143" t="str">
        <f>'GDP Source - Filtered'!E143</f>
        <v>Cambodia</v>
      </c>
      <c r="C143" t="str">
        <f>'GDP Source - Filtered'!B143</f>
        <v>KHM</v>
      </c>
      <c r="D143" s="5">
        <f>'GDP Source - Filtered'!D143</f>
        <v>2183.5568239999998</v>
      </c>
      <c r="E143" s="6">
        <f t="shared" si="13"/>
        <v>7.6887103968599462</v>
      </c>
      <c r="F143" s="6">
        <f>Parameters!$B$5</f>
        <v>5.5935987065355954</v>
      </c>
      <c r="G143" s="6">
        <f>Parameters!$B$6</f>
        <v>11.66576273922931</v>
      </c>
      <c r="H143" s="7">
        <f t="shared" si="14"/>
        <v>34.503542378694995</v>
      </c>
      <c r="I143" s="7">
        <f>'GDP Source - Filtered'!F143</f>
        <v>41.72688302743385</v>
      </c>
      <c r="J143" t="str">
        <f>'GDP Source - Filtered'!A143</f>
        <v>Cambodia</v>
      </c>
    </row>
    <row r="144" spans="1:10">
      <c r="A144">
        <f t="shared" si="12"/>
        <v>143</v>
      </c>
      <c r="B144" t="str">
        <f>'GDP Source - Filtered'!E144</f>
        <v>Ghana</v>
      </c>
      <c r="C144" t="str">
        <f>'GDP Source - Filtered'!B144</f>
        <v>GHA</v>
      </c>
      <c r="D144" s="5">
        <f>'GDP Source - Filtered'!D144</f>
        <v>2173.0032980000001</v>
      </c>
      <c r="E144" s="6">
        <f t="shared" si="13"/>
        <v>7.683865497972719</v>
      </c>
      <c r="F144" s="6">
        <f>Parameters!$B$5</f>
        <v>5.5935987065355954</v>
      </c>
      <c r="G144" s="6">
        <f>Parameters!$B$6</f>
        <v>11.66576273922931</v>
      </c>
      <c r="H144" s="7">
        <f t="shared" si="14"/>
        <v>34.423753709266087</v>
      </c>
      <c r="I144" s="7">
        <f>'GDP Source - Filtered'!F144</f>
        <v>100</v>
      </c>
      <c r="J144" t="str">
        <f>'GDP Source - Filtered'!A144</f>
        <v>Ghana</v>
      </c>
    </row>
    <row r="145" spans="1:10">
      <c r="A145">
        <f t="shared" si="12"/>
        <v>144</v>
      </c>
      <c r="B145" t="str">
        <f>'GDP Source - Filtered'!E145</f>
        <v>Kiribati</v>
      </c>
      <c r="C145" t="str">
        <f>'GDP Source - Filtered'!B145</f>
        <v>KIR</v>
      </c>
      <c r="D145" s="5">
        <f>'GDP Source - Filtered'!D145</f>
        <v>2052.8129880000001</v>
      </c>
      <c r="E145" s="6">
        <f t="shared" si="13"/>
        <v>7.6269663208094007</v>
      </c>
      <c r="F145" s="6">
        <f>Parameters!$B$5</f>
        <v>5.5935987065355954</v>
      </c>
      <c r="G145" s="6">
        <f>Parameters!$B$6</f>
        <v>11.66576273922931</v>
      </c>
      <c r="H145" s="7">
        <f t="shared" si="14"/>
        <v>33.48670430057156</v>
      </c>
      <c r="I145" s="7">
        <f>'GDP Source - Filtered'!F145</f>
        <v>37.589580097800336</v>
      </c>
      <c r="J145" t="str">
        <f>'GDP Source - Filtered'!A145</f>
        <v>Kiribati</v>
      </c>
    </row>
    <row r="146" spans="1:10">
      <c r="A146">
        <f t="shared" si="12"/>
        <v>145</v>
      </c>
      <c r="B146" t="str">
        <f>'GDP Source - Filtered'!E146</f>
        <v>Bangladesh</v>
      </c>
      <c r="C146" t="str">
        <f>'GDP Source - Filtered'!B146</f>
        <v>BGD</v>
      </c>
      <c r="D146" s="5">
        <f>'GDP Source - Filtered'!D146</f>
        <v>1941.278744</v>
      </c>
      <c r="E146" s="6">
        <f t="shared" si="13"/>
        <v>7.5711021813075572</v>
      </c>
      <c r="F146" s="6">
        <f>Parameters!$B$5</f>
        <v>5.5935987065355954</v>
      </c>
      <c r="G146" s="6">
        <f>Parameters!$B$6</f>
        <v>11.66576273922931</v>
      </c>
      <c r="H146" s="7">
        <f t="shared" si="14"/>
        <v>32.56670050619018</v>
      </c>
      <c r="I146" s="7">
        <f>'GDP Source - Filtered'!F146</f>
        <v>59.301518559446244</v>
      </c>
      <c r="J146" t="str">
        <f>'GDP Source - Filtered'!A146</f>
        <v>Bangladesh</v>
      </c>
    </row>
    <row r="147" spans="1:10">
      <c r="A147">
        <f t="shared" si="12"/>
        <v>146</v>
      </c>
      <c r="B147" t="str">
        <f>'GDP Source - Filtered'!E147</f>
        <v>Kenya</v>
      </c>
      <c r="C147" t="str">
        <f>'GDP Source - Filtered'!B147</f>
        <v>KEN</v>
      </c>
      <c r="D147" s="5">
        <f>'GDP Source - Filtered'!D147</f>
        <v>1858.8765000000001</v>
      </c>
      <c r="E147" s="6">
        <f t="shared" si="13"/>
        <v>7.5277275519482032</v>
      </c>
      <c r="F147" s="6">
        <f>Parameters!$B$5</f>
        <v>5.5935987065355954</v>
      </c>
      <c r="G147" s="6">
        <f>Parameters!$B$6</f>
        <v>11.66576273922931</v>
      </c>
      <c r="H147" s="7">
        <f t="shared" si="14"/>
        <v>31.852381375056424</v>
      </c>
      <c r="I147" s="7">
        <f>'GDP Source - Filtered'!F147</f>
        <v>41.573928498286165</v>
      </c>
      <c r="J147" t="str">
        <f>'GDP Source - Filtered'!A147</f>
        <v>Kenya</v>
      </c>
    </row>
    <row r="148" spans="1:10">
      <c r="A148">
        <f t="shared" si="12"/>
        <v>147</v>
      </c>
      <c r="B148" t="str">
        <f>'GDP Source - Filtered'!E148</f>
        <v>Solomon Isds</v>
      </c>
      <c r="C148" t="str">
        <f>'GDP Source - Filtered'!B148</f>
        <v>SLB</v>
      </c>
      <c r="D148" s="5">
        <f>'GDP Source - Filtered'!D148</f>
        <v>1806.383673</v>
      </c>
      <c r="E148" s="6">
        <f t="shared" si="13"/>
        <v>7.4990821549355964</v>
      </c>
      <c r="F148" s="6">
        <f>Parameters!$B$5</f>
        <v>5.5935987065355954</v>
      </c>
      <c r="G148" s="6">
        <f>Parameters!$B$6</f>
        <v>11.66576273922931</v>
      </c>
      <c r="H148" s="7">
        <f t="shared" si="14"/>
        <v>31.380631981292119</v>
      </c>
      <c r="I148" s="7">
        <f>'GDP Source - Filtered'!F148</f>
        <v>28.825868454891424</v>
      </c>
      <c r="J148" t="str">
        <f>'GDP Source - Filtered'!A148</f>
        <v>Solomon Islands</v>
      </c>
    </row>
    <row r="149" spans="1:10">
      <c r="A149">
        <f t="shared" si="12"/>
        <v>148</v>
      </c>
      <c r="B149" t="str">
        <f>'GDP Source - Filtered'!E149</f>
        <v>Mauritania</v>
      </c>
      <c r="C149" t="str">
        <f>'GDP Source - Filtered'!B149</f>
        <v>MRT</v>
      </c>
      <c r="D149" s="5">
        <f>'GDP Source - Filtered'!D149</f>
        <v>1692.8416609999999</v>
      </c>
      <c r="E149" s="6">
        <f t="shared" si="13"/>
        <v>7.4341638520653008</v>
      </c>
      <c r="F149" s="6">
        <f>Parameters!$B$5</f>
        <v>5.5935987065355954</v>
      </c>
      <c r="G149" s="6">
        <f>Parameters!$B$6</f>
        <v>11.66576273922931</v>
      </c>
      <c r="H149" s="7">
        <f t="shared" si="14"/>
        <v>30.311518852582772</v>
      </c>
      <c r="I149" s="7">
        <f>'GDP Source - Filtered'!F149</f>
        <v>29.537034413561692</v>
      </c>
      <c r="J149" t="str">
        <f>'GDP Source - Filtered'!A149</f>
        <v>Mauritania</v>
      </c>
    </row>
    <row r="150" spans="1:10">
      <c r="A150">
        <f t="shared" si="12"/>
        <v>149</v>
      </c>
      <c r="B150" t="str">
        <f>'GDP Source - Filtered'!E150</f>
        <v>Congo</v>
      </c>
      <c r="C150" t="str">
        <f>'GDP Source - Filtered'!B150</f>
        <v>COG</v>
      </c>
      <c r="D150" s="5">
        <f>'GDP Source - Filtered'!D150</f>
        <v>1671.726602</v>
      </c>
      <c r="E150" s="6">
        <f t="shared" si="13"/>
        <v>7.4216122647242821</v>
      </c>
      <c r="F150" s="6">
        <f>Parameters!$B$5</f>
        <v>5.5935987065355954</v>
      </c>
      <c r="G150" s="6">
        <f>Parameters!$B$6</f>
        <v>11.66576273922931</v>
      </c>
      <c r="H150" s="7">
        <f t="shared" si="14"/>
        <v>30.104811865198396</v>
      </c>
      <c r="I150" s="7">
        <f>'GDP Source - Filtered'!F150</f>
        <v>100</v>
      </c>
      <c r="J150" t="str">
        <f>'GDP Source - Filtered'!A150</f>
        <v>Congo, Rep.</v>
      </c>
    </row>
    <row r="151" spans="1:10">
      <c r="A151">
        <f t="shared" si="12"/>
        <v>150</v>
      </c>
      <c r="B151" t="str">
        <f>'GDP Source - Filtered'!E151</f>
        <v>Pakistan</v>
      </c>
      <c r="C151" t="str">
        <f>'GDP Source - Filtered'!B151</f>
        <v>PAK</v>
      </c>
      <c r="D151" s="5">
        <f>'GDP Source - Filtered'!D151</f>
        <v>1635.0873120000001</v>
      </c>
      <c r="E151" s="6">
        <f t="shared" si="13"/>
        <v>7.3994514837403891</v>
      </c>
      <c r="F151" s="6">
        <f>Parameters!$B$5</f>
        <v>5.5935987065355954</v>
      </c>
      <c r="G151" s="6">
        <f>Parameters!$B$6</f>
        <v>11.66576273922931</v>
      </c>
      <c r="H151" s="7">
        <f t="shared" si="14"/>
        <v>29.739854975618748</v>
      </c>
      <c r="I151" s="7">
        <f>'GDP Source - Filtered'!F151</f>
        <v>69.851487894798964</v>
      </c>
      <c r="J151" t="str">
        <f>'GDP Source - Filtered'!A151</f>
        <v>Pakistan</v>
      </c>
    </row>
    <row r="152" spans="1:10">
      <c r="A152">
        <f t="shared" si="12"/>
        <v>151</v>
      </c>
      <c r="B152" t="str">
        <f>'GDP Source - Filtered'!E152</f>
        <v>Senegal</v>
      </c>
      <c r="C152" t="str">
        <f>'GDP Source - Filtered'!B152</f>
        <v>SEN</v>
      </c>
      <c r="D152" s="5">
        <f>'GDP Source - Filtered'!D152</f>
        <v>1517.6183880000001</v>
      </c>
      <c r="E152" s="6">
        <f t="shared" si="13"/>
        <v>7.3248975350471364</v>
      </c>
      <c r="F152" s="6">
        <f>Parameters!$B$5</f>
        <v>5.5935987065355954</v>
      </c>
      <c r="G152" s="6">
        <f>Parameters!$B$6</f>
        <v>11.66576273922931</v>
      </c>
      <c r="H152" s="7">
        <f t="shared" si="14"/>
        <v>28.512056314518031</v>
      </c>
      <c r="I152" s="7">
        <f>'GDP Source - Filtered'!F152</f>
        <v>38.568933383534961</v>
      </c>
      <c r="J152" t="str">
        <f>'GDP Source - Filtered'!A152</f>
        <v>Senegal</v>
      </c>
    </row>
    <row r="153" spans="1:10">
      <c r="A153">
        <f t="shared" si="12"/>
        <v>152</v>
      </c>
      <c r="B153" t="str">
        <f>'GDP Source - Filtered'!E153</f>
        <v>Venezuela</v>
      </c>
      <c r="C153" t="str">
        <f>'GDP Source - Filtered'!B153</f>
        <v>VEN</v>
      </c>
      <c r="D153" s="5">
        <f>'GDP Source - Filtered'!D153</f>
        <v>1501.2220789999999</v>
      </c>
      <c r="E153" s="6">
        <f t="shared" si="13"/>
        <v>7.3140347747199899</v>
      </c>
      <c r="F153" s="6">
        <f>Parameters!$B$5</f>
        <v>5.5935987065355954</v>
      </c>
      <c r="G153" s="6">
        <f>Parameters!$B$6</f>
        <v>11.66576273922931</v>
      </c>
      <c r="H153" s="7">
        <f t="shared" si="14"/>
        <v>28.333161932405506</v>
      </c>
      <c r="I153" s="7">
        <f>'GDP Source - Filtered'!F153</f>
        <v>100</v>
      </c>
      <c r="J153" t="str">
        <f>'GDP Source - Filtered'!A153</f>
        <v>Venezuela, RB</v>
      </c>
    </row>
    <row r="154" spans="1:10">
      <c r="A154">
        <f t="shared" si="12"/>
        <v>153</v>
      </c>
      <c r="B154" t="str">
        <f>'GDP Source - Filtered'!E154</f>
        <v>Tajikistan</v>
      </c>
      <c r="C154" t="str">
        <f>'GDP Source - Filtered'!B154</f>
        <v>TJK</v>
      </c>
      <c r="D154" s="5">
        <f>'GDP Source - Filtered'!D154</f>
        <v>1496.3381340000001</v>
      </c>
      <c r="E154" s="6">
        <f t="shared" si="13"/>
        <v>7.3107761583955995</v>
      </c>
      <c r="F154" s="6">
        <f>Parameters!$B$5</f>
        <v>5.5935987065355954</v>
      </c>
      <c r="G154" s="6">
        <f>Parameters!$B$6</f>
        <v>11.66576273922931</v>
      </c>
      <c r="H154" s="7">
        <f t="shared" si="14"/>
        <v>28.27949710538757</v>
      </c>
      <c r="I154" s="7">
        <f>'GDP Source - Filtered'!F154</f>
        <v>79.433424299587017</v>
      </c>
      <c r="J154" t="str">
        <f>'GDP Source - Filtered'!A154</f>
        <v>Tajikistan</v>
      </c>
    </row>
    <row r="155" spans="1:10">
      <c r="A155">
        <f t="shared" si="12"/>
        <v>154</v>
      </c>
      <c r="B155" t="str">
        <f>'GDP Source - Filtered'!E155</f>
        <v>Cameroon</v>
      </c>
      <c r="C155" t="str">
        <f>'GDP Source - Filtered'!B155</f>
        <v>CMR</v>
      </c>
      <c r="D155" s="5">
        <f>'GDP Source - Filtered'!D155</f>
        <v>1480.7309740000001</v>
      </c>
      <c r="E155" s="6">
        <f t="shared" si="13"/>
        <v>7.3002911461803857</v>
      </c>
      <c r="F155" s="6">
        <f>Parameters!$B$5</f>
        <v>5.5935987065355954</v>
      </c>
      <c r="G155" s="6">
        <f>Parameters!$B$6</f>
        <v>11.66576273922931</v>
      </c>
      <c r="H155" s="7">
        <f t="shared" si="14"/>
        <v>28.106823703306194</v>
      </c>
      <c r="I155" s="7">
        <f>'GDP Source - Filtered'!F155</f>
        <v>100</v>
      </c>
      <c r="J155" t="str">
        <f>'GDP Source - Filtered'!A155</f>
        <v>Cameroon</v>
      </c>
    </row>
    <row r="156" spans="1:10">
      <c r="A156">
        <f t="shared" si="12"/>
        <v>155</v>
      </c>
      <c r="B156" t="str">
        <f>'GDP Source - Filtered'!E156</f>
        <v>Kyrgyzstan</v>
      </c>
      <c r="C156" t="str">
        <f>'GDP Source - Filtered'!B156</f>
        <v>KGZ</v>
      </c>
      <c r="D156" s="5">
        <f>'GDP Source - Filtered'!D156</f>
        <v>1423.586247</v>
      </c>
      <c r="E156" s="6">
        <f t="shared" si="13"/>
        <v>7.260934492870069</v>
      </c>
      <c r="F156" s="6">
        <f>Parameters!$B$5</f>
        <v>5.5935987065355954</v>
      </c>
      <c r="G156" s="6">
        <f>Parameters!$B$6</f>
        <v>11.66576273922931</v>
      </c>
      <c r="H156" s="7">
        <f t="shared" si="14"/>
        <v>27.458674985675831</v>
      </c>
      <c r="I156" s="7">
        <f>'GDP Source - Filtered'!F156</f>
        <v>76.253197917404364</v>
      </c>
      <c r="J156" t="str">
        <f>'GDP Source - Filtered'!A156</f>
        <v>Kyrgyz Republic</v>
      </c>
    </row>
    <row r="157" spans="1:10">
      <c r="A157">
        <f t="shared" si="12"/>
        <v>156</v>
      </c>
      <c r="B157" t="str">
        <f>'GDP Source - Filtered'!E157</f>
        <v>Zimbabwe</v>
      </c>
      <c r="C157" t="str">
        <f>'GDP Source - Filtered'!B157</f>
        <v>ZWE</v>
      </c>
      <c r="D157" s="5">
        <f>'GDP Source - Filtered'!D157</f>
        <v>1416.800655</v>
      </c>
      <c r="E157" s="6">
        <f t="shared" si="13"/>
        <v>7.2561565487779465</v>
      </c>
      <c r="F157" s="6">
        <f>Parameters!$B$5</f>
        <v>5.5935987065355954</v>
      </c>
      <c r="G157" s="6">
        <f>Parameters!$B$6</f>
        <v>11.66576273922931</v>
      </c>
      <c r="H157" s="7">
        <f t="shared" si="14"/>
        <v>27.379988967538026</v>
      </c>
      <c r="I157" s="7">
        <f>'GDP Source - Filtered'!F157</f>
        <v>80.092149546236655</v>
      </c>
      <c r="J157" t="str">
        <f>'GDP Source - Filtered'!A157</f>
        <v>Zimbabwe</v>
      </c>
    </row>
    <row r="158" spans="1:10">
      <c r="A158">
        <f t="shared" si="12"/>
        <v>157</v>
      </c>
      <c r="B158" t="str">
        <f>'GDP Source - Filtered'!E158</f>
        <v>Comoros</v>
      </c>
      <c r="C158" t="str">
        <f>'GDP Source - Filtered'!B158</f>
        <v>COM</v>
      </c>
      <c r="D158" s="5">
        <f>'GDP Source - Filtered'!D158</f>
        <v>1402.526143</v>
      </c>
      <c r="E158" s="6">
        <f t="shared" si="13"/>
        <v>7.2460302775083285</v>
      </c>
      <c r="F158" s="6">
        <f>Parameters!$B$5</f>
        <v>5.5935987065355954</v>
      </c>
      <c r="G158" s="6">
        <f>Parameters!$B$6</f>
        <v>11.66576273922931</v>
      </c>
      <c r="H158" s="7">
        <f t="shared" si="14"/>
        <v>27.213223524195318</v>
      </c>
      <c r="I158" s="7">
        <f>'GDP Source - Filtered'!F158</f>
        <v>30.752744636152396</v>
      </c>
      <c r="J158" t="str">
        <f>'GDP Source - Filtered'!A158</f>
        <v>Comoros</v>
      </c>
    </row>
    <row r="159" spans="1:10">
      <c r="A159">
        <f t="shared" si="12"/>
        <v>158</v>
      </c>
      <c r="B159" t="str">
        <f>'GDP Source - Filtered'!E159</f>
        <v>Sao Tome and Principe</v>
      </c>
      <c r="C159" t="str">
        <f>'GDP Source - Filtered'!B159</f>
        <v>STP</v>
      </c>
      <c r="D159" s="5">
        <f>'GDP Source - Filtered'!D159</f>
        <v>1373.2708210000001</v>
      </c>
      <c r="E159" s="6">
        <f t="shared" si="13"/>
        <v>7.2249506339501348</v>
      </c>
      <c r="F159" s="6">
        <f>Parameters!$B$5</f>
        <v>5.5935987065355954</v>
      </c>
      <c r="G159" s="6">
        <f>Parameters!$B$6</f>
        <v>11.66576273922931</v>
      </c>
      <c r="H159" s="7">
        <f t="shared" si="14"/>
        <v>26.866071447197783</v>
      </c>
      <c r="I159" s="7">
        <f>'GDP Source - Filtered'!F159</f>
        <v>23.058923327109994</v>
      </c>
      <c r="J159" t="str">
        <f>'GDP Source - Filtered'!A159</f>
        <v>Sao Tome and Principe</v>
      </c>
    </row>
    <row r="160" spans="1:10">
      <c r="A160">
        <f t="shared" si="12"/>
        <v>159</v>
      </c>
      <c r="B160" t="str">
        <f>'GDP Source - Filtered'!E160</f>
        <v>Zambia</v>
      </c>
      <c r="C160" t="str">
        <f>'GDP Source - Filtered'!B160</f>
        <v>ZMB</v>
      </c>
      <c r="D160" s="5">
        <f>'GDP Source - Filtered'!D160</f>
        <v>1343.389664</v>
      </c>
      <c r="E160" s="6">
        <f t="shared" si="13"/>
        <v>7.2029512988921933</v>
      </c>
      <c r="F160" s="6">
        <f>Parameters!$B$5</f>
        <v>5.5935987065355954</v>
      </c>
      <c r="G160" s="6">
        <f>Parameters!$B$6</f>
        <v>11.66576273922931</v>
      </c>
      <c r="H160" s="7">
        <f t="shared" si="14"/>
        <v>26.503773344915093</v>
      </c>
      <c r="I160" s="7">
        <f>'GDP Source - Filtered'!F160</f>
        <v>75.649007014881136</v>
      </c>
      <c r="J160" t="str">
        <f>'GDP Source - Filtered'!A160</f>
        <v>Zambia</v>
      </c>
    </row>
    <row r="161" spans="1:10">
      <c r="A161">
        <f t="shared" si="12"/>
        <v>160</v>
      </c>
      <c r="B161" t="str">
        <f>'GDP Source - Filtered'!E161</f>
        <v>Benin</v>
      </c>
      <c r="C161" t="str">
        <f>'GDP Source - Filtered'!B161</f>
        <v>BEN</v>
      </c>
      <c r="D161" s="5">
        <f>'GDP Source - Filtered'!D161</f>
        <v>1324.783126</v>
      </c>
      <c r="E161" s="6">
        <f t="shared" si="13"/>
        <v>7.189004046532971</v>
      </c>
      <c r="F161" s="6">
        <f>Parameters!$B$5</f>
        <v>5.5935987065355954</v>
      </c>
      <c r="G161" s="6">
        <f>Parameters!$B$6</f>
        <v>11.66576273922931</v>
      </c>
      <c r="H161" s="7">
        <f t="shared" si="14"/>
        <v>26.274081717941122</v>
      </c>
      <c r="I161" s="7">
        <f>'GDP Source - Filtered'!F161</f>
        <v>32.174157448897475</v>
      </c>
      <c r="J161" t="str">
        <f>'GDP Source - Filtered'!A161</f>
        <v>Benin</v>
      </c>
    </row>
    <row r="162" spans="1:10">
      <c r="A162">
        <f t="shared" ref="A162:A189" si="15">ROW()-1</f>
        <v>161</v>
      </c>
      <c r="B162" t="str">
        <f>'GDP Source - Filtered'!E162</f>
        <v>Nepal</v>
      </c>
      <c r="C162" t="str">
        <f>'GDP Source - Filtered'!B162</f>
        <v>NPL</v>
      </c>
      <c r="D162" s="5">
        <f>'GDP Source - Filtered'!D162</f>
        <v>1179.9549930000001</v>
      </c>
      <c r="E162" s="6">
        <f t="shared" ref="E162:E193" si="16">LN(D162)</f>
        <v>7.0732315752068802</v>
      </c>
      <c r="F162" s="6">
        <f>Parameters!$B$5</f>
        <v>5.5935987065355954</v>
      </c>
      <c r="G162" s="6">
        <f>Parameters!$B$6</f>
        <v>11.66576273922931</v>
      </c>
      <c r="H162" s="7">
        <f t="shared" ref="H162:H193" si="17">100*(E162-F162)/(G162-F162)</f>
        <v>24.367471970530659</v>
      </c>
      <c r="I162" s="7">
        <f>'GDP Source - Filtered'!F162</f>
        <v>34.430433461464439</v>
      </c>
      <c r="J162" t="str">
        <f>'GDP Source - Filtered'!A162</f>
        <v>Nepal</v>
      </c>
    </row>
    <row r="163" spans="1:10">
      <c r="A163">
        <f t="shared" si="15"/>
        <v>162</v>
      </c>
      <c r="B163" t="str">
        <f>'GDP Source - Filtered'!E163</f>
        <v>Myanmar</v>
      </c>
      <c r="C163" t="str">
        <f>'GDP Source - Filtered'!B163</f>
        <v>MMR</v>
      </c>
      <c r="D163" s="5">
        <f>'GDP Source - Filtered'!D163</f>
        <v>1158.4792809999999</v>
      </c>
      <c r="E163" s="6">
        <f t="shared" si="16"/>
        <v>7.0548634593793151</v>
      </c>
      <c r="F163" s="6">
        <f>Parameters!$B$5</f>
        <v>5.5935987065355954</v>
      </c>
      <c r="G163" s="6">
        <f>Parameters!$B$6</f>
        <v>11.66576273922931</v>
      </c>
      <c r="H163" s="7">
        <f t="shared" si="17"/>
        <v>24.064974940992791</v>
      </c>
      <c r="I163" s="7">
        <f>'GDP Source - Filtered'!F163</f>
        <v>100</v>
      </c>
      <c r="J163" t="str">
        <f>'GDP Source - Filtered'!A163</f>
        <v>Myanmar</v>
      </c>
    </row>
    <row r="164" spans="1:10">
      <c r="A164">
        <f t="shared" si="15"/>
        <v>163</v>
      </c>
      <c r="B164" t="str">
        <f>'GDP Source - Filtered'!E164</f>
        <v>Haiti</v>
      </c>
      <c r="C164" t="str">
        <f>'GDP Source - Filtered'!B164</f>
        <v>HTI</v>
      </c>
      <c r="D164" s="5">
        <f>'GDP Source - Filtered'!D164</f>
        <v>1154.6884190000001</v>
      </c>
      <c r="E164" s="6">
        <f t="shared" si="16"/>
        <v>7.0515858194626375</v>
      </c>
      <c r="F164" s="6">
        <f>Parameters!$B$5</f>
        <v>5.5935987065355954</v>
      </c>
      <c r="G164" s="6">
        <f>Parameters!$B$6</f>
        <v>11.66576273922931</v>
      </c>
      <c r="H164" s="7">
        <f t="shared" si="17"/>
        <v>24.010996822170078</v>
      </c>
      <c r="I164" s="7">
        <f>'GDP Source - Filtered'!F164</f>
        <v>19.634092326737683</v>
      </c>
      <c r="J164" t="str">
        <f>'GDP Source - Filtered'!A164</f>
        <v>Haiti</v>
      </c>
    </row>
    <row r="165" spans="1:10">
      <c r="A165">
        <f t="shared" si="15"/>
        <v>164</v>
      </c>
      <c r="B165" t="str">
        <f>'GDP Source - Filtered'!E165</f>
        <v>Timor-Leste</v>
      </c>
      <c r="C165" t="str">
        <f>'GDP Source - Filtered'!B165</f>
        <v>TLS</v>
      </c>
      <c r="D165" s="5">
        <f>'GDP Source - Filtered'!D165</f>
        <v>1149.2188900000001</v>
      </c>
      <c r="E165" s="6">
        <f t="shared" si="16"/>
        <v>7.0468377644917943</v>
      </c>
      <c r="F165" s="6">
        <f>Parameters!$B$5</f>
        <v>5.5935987065355954</v>
      </c>
      <c r="G165" s="6">
        <f>Parameters!$B$6</f>
        <v>11.66576273922931</v>
      </c>
      <c r="H165" s="7">
        <f t="shared" si="17"/>
        <v>23.93280303581518</v>
      </c>
      <c r="I165" s="7">
        <f>'GDP Source - Filtered'!F165</f>
        <v>61.297049161977199</v>
      </c>
      <c r="J165" t="str">
        <f>'GDP Source - Filtered'!A165</f>
        <v>Timor-Leste</v>
      </c>
    </row>
    <row r="166" spans="1:10">
      <c r="A166">
        <f t="shared" si="15"/>
        <v>165</v>
      </c>
      <c r="B166" t="str">
        <f>'GDP Source - Filtered'!E166</f>
        <v>Sierra Leone</v>
      </c>
      <c r="C166" t="str">
        <f>'GDP Source - Filtered'!B166</f>
        <v>SLE</v>
      </c>
      <c r="D166" s="5">
        <f>'GDP Source - Filtered'!D166</f>
        <v>1137.290056</v>
      </c>
      <c r="E166" s="6">
        <f t="shared" si="16"/>
        <v>7.0364035676368308</v>
      </c>
      <c r="F166" s="6">
        <f>Parameters!$B$5</f>
        <v>5.5935987065355954</v>
      </c>
      <c r="G166" s="6">
        <f>Parameters!$B$6</f>
        <v>11.66576273922931</v>
      </c>
      <c r="H166" s="7">
        <f t="shared" si="17"/>
        <v>23.760966491235958</v>
      </c>
      <c r="I166" s="7">
        <f>'GDP Source - Filtered'!F166</f>
        <v>34.01281509763627</v>
      </c>
      <c r="J166" t="str">
        <f>'GDP Source - Filtered'!A166</f>
        <v>Sierra Leone</v>
      </c>
    </row>
    <row r="167" spans="1:10">
      <c r="A167">
        <f t="shared" si="15"/>
        <v>166</v>
      </c>
      <c r="B167" t="str">
        <f>'GDP Source - Filtered'!E167</f>
        <v>United Rep. of Tanzania</v>
      </c>
      <c r="C167" t="str">
        <f>'GDP Source - Filtered'!B167</f>
        <v>TZA</v>
      </c>
      <c r="D167" s="5">
        <f>'GDP Source - Filtered'!D167</f>
        <v>1120.7741699999999</v>
      </c>
      <c r="E167" s="6">
        <f t="shared" si="16"/>
        <v>7.0217749487186891</v>
      </c>
      <c r="F167" s="6">
        <f>Parameters!$B$5</f>
        <v>5.5935987065355954</v>
      </c>
      <c r="G167" s="6">
        <f>Parameters!$B$6</f>
        <v>11.66576273922931</v>
      </c>
      <c r="H167" s="7">
        <f t="shared" si="17"/>
        <v>23.5200537155043</v>
      </c>
      <c r="I167" s="7">
        <f>'GDP Source - Filtered'!F167</f>
        <v>63.713935036967982</v>
      </c>
      <c r="J167" t="str">
        <f>'GDP Source - Filtered'!A167</f>
        <v>Tanzania</v>
      </c>
    </row>
    <row r="168" spans="1:10">
      <c r="A168">
        <f t="shared" si="15"/>
        <v>167</v>
      </c>
      <c r="B168" t="str">
        <f>'GDP Source - Filtered'!E168</f>
        <v>Togo</v>
      </c>
      <c r="C168" t="str">
        <f>'GDP Source - Filtered'!B168</f>
        <v>TGO</v>
      </c>
      <c r="D168" s="5">
        <f>'GDP Source - Filtered'!D168</f>
        <v>1053.816538</v>
      </c>
      <c r="E168" s="6">
        <f t="shared" si="16"/>
        <v>6.960173651332056</v>
      </c>
      <c r="F168" s="6">
        <f>Parameters!$B$5</f>
        <v>5.5935987065355954</v>
      </c>
      <c r="G168" s="6">
        <f>Parameters!$B$6</f>
        <v>11.66576273922931</v>
      </c>
      <c r="H168" s="7">
        <f t="shared" si="17"/>
        <v>22.505567001130977</v>
      </c>
      <c r="I168" s="7">
        <f>'GDP Source - Filtered'!F168</f>
        <v>31.385375991085741</v>
      </c>
      <c r="J168" t="str">
        <f>'GDP Source - Filtered'!A168</f>
        <v>Togo</v>
      </c>
    </row>
    <row r="169" spans="1:10">
      <c r="A169">
        <f t="shared" si="15"/>
        <v>168</v>
      </c>
      <c r="B169" t="str">
        <f>'GDP Source - Filtered'!E169</f>
        <v>Guinea</v>
      </c>
      <c r="C169" t="str">
        <f>'GDP Source - Filtered'!B169</f>
        <v>GIN</v>
      </c>
      <c r="D169" s="5">
        <f>'GDP Source - Filtered'!D169</f>
        <v>1045.9220749999999</v>
      </c>
      <c r="E169" s="6">
        <f t="shared" si="16"/>
        <v>6.9526541437617935</v>
      </c>
      <c r="F169" s="6">
        <f>Parameters!$B$5</f>
        <v>5.5935987065355954</v>
      </c>
      <c r="G169" s="6">
        <f>Parameters!$B$6</f>
        <v>11.66576273922931</v>
      </c>
      <c r="H169" s="7">
        <f t="shared" si="17"/>
        <v>22.381731289022806</v>
      </c>
      <c r="I169" s="7">
        <f>'GDP Source - Filtered'!F169</f>
        <v>42.178536258568165</v>
      </c>
      <c r="J169" t="str">
        <f>'GDP Source - Filtered'!A169</f>
        <v>Guinea</v>
      </c>
    </row>
    <row r="170" spans="1:10">
      <c r="A170">
        <f t="shared" si="15"/>
        <v>169</v>
      </c>
      <c r="B170" t="str">
        <f>'GDP Source - Filtered'!E170</f>
        <v>Rwanda</v>
      </c>
      <c r="C170" t="str">
        <f>'GDP Source - Filtered'!B170</f>
        <v>RWA</v>
      </c>
      <c r="D170" s="5">
        <f>'GDP Source - Filtered'!D170</f>
        <v>1043.159615</v>
      </c>
      <c r="E170" s="6">
        <f t="shared" si="16"/>
        <v>6.9500094778080053</v>
      </c>
      <c r="F170" s="6">
        <f>Parameters!$B$5</f>
        <v>5.5935987065355954</v>
      </c>
      <c r="G170" s="6">
        <f>Parameters!$B$6</f>
        <v>11.66576273922931</v>
      </c>
      <c r="H170" s="7">
        <f t="shared" si="17"/>
        <v>22.338177360974274</v>
      </c>
      <c r="I170" s="7">
        <f>'GDP Source - Filtered'!F170</f>
        <v>44.950600838552276</v>
      </c>
      <c r="J170" t="str">
        <f>'GDP Source - Filtered'!A170</f>
        <v>Rwanda</v>
      </c>
    </row>
    <row r="171" spans="1:10">
      <c r="A171">
        <f t="shared" si="15"/>
        <v>170</v>
      </c>
      <c r="B171" t="str">
        <f>'GDP Source - Filtered'!E171</f>
        <v>Lesotho</v>
      </c>
      <c r="C171" t="str">
        <f>'GDP Source - Filtered'!B171</f>
        <v>LSO</v>
      </c>
      <c r="D171" s="5">
        <f>'GDP Source - Filtered'!D171</f>
        <v>1012.593795</v>
      </c>
      <c r="E171" s="6">
        <f t="shared" si="16"/>
        <v>6.9202704317271859</v>
      </c>
      <c r="F171" s="6">
        <f>Parameters!$B$5</f>
        <v>5.5935987065355954</v>
      </c>
      <c r="G171" s="6">
        <f>Parameters!$B$6</f>
        <v>11.66576273922931</v>
      </c>
      <c r="H171" s="7">
        <f t="shared" si="17"/>
        <v>21.848417105475598</v>
      </c>
      <c r="I171" s="7">
        <f>'GDP Source - Filtered'!F171</f>
        <v>18.750735044663848</v>
      </c>
      <c r="J171" t="str">
        <f>'GDP Source - Filtered'!A171</f>
        <v>Lesotho</v>
      </c>
    </row>
    <row r="172" spans="1:10">
      <c r="A172">
        <f t="shared" si="15"/>
        <v>171</v>
      </c>
      <c r="B172" t="str">
        <f>'GDP Source - Filtered'!E172</f>
        <v>Uganda</v>
      </c>
      <c r="C172" t="str">
        <f>'GDP Source - Filtered'!B172</f>
        <v>UGA</v>
      </c>
      <c r="D172" s="5">
        <f>'GDP Source - Filtered'!D172</f>
        <v>986.09014539999998</v>
      </c>
      <c r="E172" s="6">
        <f t="shared" si="16"/>
        <v>6.8937477757785617</v>
      </c>
      <c r="F172" s="6">
        <f>Parameters!$B$5</f>
        <v>5.5935987065355954</v>
      </c>
      <c r="G172" s="6">
        <f>Parameters!$B$6</f>
        <v>11.66576273922931</v>
      </c>
      <c r="H172" s="7">
        <f t="shared" si="17"/>
        <v>21.41162627100833</v>
      </c>
      <c r="I172" s="7">
        <f>'GDP Source - Filtered'!F172</f>
        <v>46.177298356740458</v>
      </c>
      <c r="J172" t="str">
        <f>'GDP Source - Filtered'!A172</f>
        <v>Uganda</v>
      </c>
    </row>
    <row r="173" spans="1:10">
      <c r="A173">
        <f t="shared" si="15"/>
        <v>172</v>
      </c>
      <c r="B173" t="str">
        <f>'GDP Source - Filtered'!E173</f>
        <v>Mali</v>
      </c>
      <c r="C173" t="str">
        <f>'GDP Source - Filtered'!B173</f>
        <v>MLI</v>
      </c>
      <c r="D173" s="5">
        <f>'GDP Source - Filtered'!D173</f>
        <v>910.30037630000004</v>
      </c>
      <c r="E173" s="6">
        <f t="shared" si="16"/>
        <v>6.8137746288913617</v>
      </c>
      <c r="F173" s="6">
        <f>Parameters!$B$5</f>
        <v>5.5935987065355954</v>
      </c>
      <c r="G173" s="6">
        <f>Parameters!$B$6</f>
        <v>11.66576273922931</v>
      </c>
      <c r="H173" s="7">
        <f t="shared" si="17"/>
        <v>20.094581038754903</v>
      </c>
      <c r="I173" s="7">
        <f>'GDP Source - Filtered'!F173</f>
        <v>25.376536723812137</v>
      </c>
      <c r="J173" t="str">
        <f>'GDP Source - Filtered'!A173</f>
        <v>Mali</v>
      </c>
    </row>
    <row r="174" spans="1:10">
      <c r="A174">
        <f t="shared" si="15"/>
        <v>173</v>
      </c>
      <c r="B174" t="str">
        <f>'GDP Source - Filtered'!E174</f>
        <v>Ethiopia</v>
      </c>
      <c r="C174" t="str">
        <f>'GDP Source - Filtered'!B174</f>
        <v>ETH</v>
      </c>
      <c r="D174" s="5">
        <f>'GDP Source - Filtered'!D174</f>
        <v>883.45858859999998</v>
      </c>
      <c r="E174" s="6">
        <f t="shared" si="16"/>
        <v>6.7838444186748079</v>
      </c>
      <c r="F174" s="6">
        <f>Parameters!$B$5</f>
        <v>5.5935987065355954</v>
      </c>
      <c r="G174" s="6">
        <f>Parameters!$B$6</f>
        <v>11.66576273922931</v>
      </c>
      <c r="H174" s="7">
        <f t="shared" si="17"/>
        <v>19.601672578848294</v>
      </c>
      <c r="I174" s="7">
        <f>'GDP Source - Filtered'!F174</f>
        <v>48.244984553618472</v>
      </c>
      <c r="J174" t="str">
        <f>'GDP Source - Filtered'!A174</f>
        <v>Ethiopia</v>
      </c>
    </row>
    <row r="175" spans="1:10">
      <c r="A175">
        <f t="shared" si="15"/>
        <v>174</v>
      </c>
      <c r="B175" t="str">
        <f>'GDP Source - Filtered'!E175</f>
        <v>Chad</v>
      </c>
      <c r="C175" t="str">
        <f>'GDP Source - Filtered'!B175</f>
        <v>TCD</v>
      </c>
      <c r="D175" s="5">
        <f>'GDP Source - Filtered'!D175</f>
        <v>855.99935319999997</v>
      </c>
      <c r="E175" s="6">
        <f t="shared" si="16"/>
        <v>6.7522696205339798</v>
      </c>
      <c r="F175" s="6">
        <f>Parameters!$B$5</f>
        <v>5.5935987065355954</v>
      </c>
      <c r="G175" s="6">
        <f>Parameters!$B$6</f>
        <v>11.66576273922931</v>
      </c>
      <c r="H175" s="7">
        <f t="shared" si="17"/>
        <v>19.081680069245074</v>
      </c>
      <c r="I175" s="7">
        <f>'GDP Source - Filtered'!F175</f>
        <v>100</v>
      </c>
      <c r="J175" t="str">
        <f>'GDP Source - Filtered'!A175</f>
        <v>Chad</v>
      </c>
    </row>
    <row r="176" spans="1:10">
      <c r="A176">
        <f t="shared" si="15"/>
        <v>175</v>
      </c>
      <c r="B176" t="str">
        <f>'GDP Source - Filtered'!E176</f>
        <v>Guinea-Bissau</v>
      </c>
      <c r="C176" t="str">
        <f>'GDP Source - Filtered'!B176</f>
        <v>GNB</v>
      </c>
      <c r="D176" s="5">
        <f>'GDP Source - Filtered'!D176</f>
        <v>785.9102196</v>
      </c>
      <c r="E176" s="6">
        <f t="shared" si="16"/>
        <v>6.666842561477619</v>
      </c>
      <c r="F176" s="6">
        <f>Parameters!$B$5</f>
        <v>5.5935987065355954</v>
      </c>
      <c r="G176" s="6">
        <f>Parameters!$B$6</f>
        <v>11.66576273922931</v>
      </c>
      <c r="H176" s="7">
        <f t="shared" si="17"/>
        <v>17.674816575498777</v>
      </c>
      <c r="I176" s="7">
        <f>'GDP Source - Filtered'!F176</f>
        <v>27.867709951716556</v>
      </c>
      <c r="J176" t="str">
        <f>'GDP Source - Filtered'!A176</f>
        <v>Guinea-Bissau</v>
      </c>
    </row>
    <row r="177" spans="1:10">
      <c r="A177">
        <f t="shared" si="15"/>
        <v>176</v>
      </c>
      <c r="B177" t="str">
        <f>'GDP Source - Filtered'!E177</f>
        <v>Burkina Faso</v>
      </c>
      <c r="C177" t="str">
        <f>'GDP Source - Filtered'!B177</f>
        <v>BFA</v>
      </c>
      <c r="D177" s="5">
        <f>'GDP Source - Filtered'!D177</f>
        <v>764.08262560000003</v>
      </c>
      <c r="E177" s="6">
        <f t="shared" si="16"/>
        <v>6.6386759320099715</v>
      </c>
      <c r="F177" s="6">
        <f>Parameters!$B$5</f>
        <v>5.5935987065355954</v>
      </c>
      <c r="G177" s="6">
        <f>Parameters!$B$6</f>
        <v>11.66576273922931</v>
      </c>
      <c r="H177" s="7">
        <f t="shared" si="17"/>
        <v>17.21095180972511</v>
      </c>
      <c r="I177" s="7">
        <f>'GDP Source - Filtered'!F177</f>
        <v>30.734401520950307</v>
      </c>
      <c r="J177" t="str">
        <f>'GDP Source - Filtered'!A177</f>
        <v>Burkina Faso</v>
      </c>
    </row>
    <row r="178" spans="1:10">
      <c r="A178">
        <f t="shared" si="15"/>
        <v>177</v>
      </c>
      <c r="B178" t="str">
        <f>'GDP Source - Filtered'!E178</f>
        <v>Gambia</v>
      </c>
      <c r="C178" t="str">
        <f>'GDP Source - Filtered'!B178</f>
        <v>GMB</v>
      </c>
      <c r="D178" s="5">
        <f>'GDP Source - Filtered'!D178</f>
        <v>758.96588880000002</v>
      </c>
      <c r="E178" s="6">
        <f t="shared" si="16"/>
        <v>6.6319568340932049</v>
      </c>
      <c r="F178" s="6">
        <f>Parameters!$B$5</f>
        <v>5.5935987065355954</v>
      </c>
      <c r="G178" s="6">
        <f>Parameters!$B$6</f>
        <v>11.66576273922931</v>
      </c>
      <c r="H178" s="7">
        <f t="shared" si="17"/>
        <v>17.100297718686235</v>
      </c>
      <c r="I178" s="7">
        <f>'GDP Source - Filtered'!F178</f>
        <v>34.978163662234074</v>
      </c>
      <c r="J178" t="str">
        <f>'GDP Source - Filtered'!A178</f>
        <v>Gambia, The</v>
      </c>
    </row>
    <row r="179" spans="1:10">
      <c r="A179">
        <f t="shared" si="15"/>
        <v>178</v>
      </c>
      <c r="B179" t="str">
        <f>'GDP Source - Filtered'!E179</f>
        <v>Liberia</v>
      </c>
      <c r="C179" t="str">
        <f>'GDP Source - Filtered'!B179</f>
        <v>LBR</v>
      </c>
      <c r="D179" s="5">
        <f>'GDP Source - Filtered'!D179</f>
        <v>665.10133759999997</v>
      </c>
      <c r="E179" s="6">
        <f t="shared" si="16"/>
        <v>6.4999394164144997</v>
      </c>
      <c r="F179" s="6">
        <f>Parameters!$B$5</f>
        <v>5.5935987065355954</v>
      </c>
      <c r="G179" s="6">
        <f>Parameters!$B$6</f>
        <v>11.66576273922931</v>
      </c>
      <c r="H179" s="7">
        <f t="shared" si="17"/>
        <v>14.926156556360949</v>
      </c>
      <c r="I179" s="7">
        <f>'GDP Source - Filtered'!F179</f>
        <v>35.027624640343333</v>
      </c>
      <c r="J179" t="str">
        <f>'GDP Source - Filtered'!A179</f>
        <v>Liberia</v>
      </c>
    </row>
    <row r="180" spans="1:10">
      <c r="A180">
        <f t="shared" si="15"/>
        <v>179</v>
      </c>
      <c r="B180" t="str">
        <f>'GDP Source - Filtered'!E180</f>
        <v>Mozambique</v>
      </c>
      <c r="C180" t="str">
        <f>'GDP Source - Filtered'!B180</f>
        <v>MOZ</v>
      </c>
      <c r="D180" s="5">
        <f>'GDP Source - Filtered'!D180</f>
        <v>605.76348140000005</v>
      </c>
      <c r="E180" s="6">
        <f t="shared" si="16"/>
        <v>6.406489615165035</v>
      </c>
      <c r="F180" s="6">
        <f>Parameters!$B$5</f>
        <v>5.5935987065355954</v>
      </c>
      <c r="G180" s="6">
        <f>Parameters!$B$6</f>
        <v>11.66576273922931</v>
      </c>
      <c r="H180" s="7">
        <f t="shared" si="17"/>
        <v>13.387169784160582</v>
      </c>
      <c r="I180" s="7">
        <f>'GDP Source - Filtered'!F180</f>
        <v>100</v>
      </c>
      <c r="J180" t="str">
        <f>'GDP Source - Filtered'!A180</f>
        <v>Mozambique</v>
      </c>
    </row>
    <row r="181" spans="1:10">
      <c r="A181">
        <f t="shared" si="15"/>
        <v>180</v>
      </c>
      <c r="B181" t="str">
        <f>'GDP Source - Filtered'!E181</f>
        <v>Niger</v>
      </c>
      <c r="C181" t="str">
        <f>'GDP Source - Filtered'!B181</f>
        <v>NER</v>
      </c>
      <c r="D181" s="5">
        <f>'GDP Source - Filtered'!D181</f>
        <v>589.08564330000002</v>
      </c>
      <c r="E181" s="6">
        <f t="shared" si="16"/>
        <v>6.3785715776654053</v>
      </c>
      <c r="F181" s="6">
        <f>Parameters!$B$5</f>
        <v>5.5935987065355954</v>
      </c>
      <c r="G181" s="6">
        <f>Parameters!$B$6</f>
        <v>11.66576273922931</v>
      </c>
      <c r="H181" s="7">
        <f t="shared" si="17"/>
        <v>12.927398978409723</v>
      </c>
      <c r="I181" s="7">
        <f>'GDP Source - Filtered'!F181</f>
        <v>100</v>
      </c>
      <c r="J181" t="str">
        <f>'GDP Source - Filtered'!A181</f>
        <v>Niger</v>
      </c>
    </row>
    <row r="182" spans="1:10">
      <c r="A182">
        <f t="shared" si="15"/>
        <v>181</v>
      </c>
      <c r="B182" t="str">
        <f>'GDP Source - Filtered'!E182</f>
        <v>Sudan</v>
      </c>
      <c r="C182" t="str">
        <f>'GDP Source - Filtered'!B182</f>
        <v>SDN</v>
      </c>
      <c r="D182" s="5">
        <f>'GDP Source - Filtered'!D182</f>
        <v>578.38916019999999</v>
      </c>
      <c r="E182" s="6">
        <f t="shared" si="16"/>
        <v>6.3602469296592581</v>
      </c>
      <c r="F182" s="6">
        <f>Parameters!$B$5</f>
        <v>5.5935987065355954</v>
      </c>
      <c r="G182" s="6">
        <f>Parameters!$B$6</f>
        <v>11.66576273922931</v>
      </c>
      <c r="H182" s="7">
        <f t="shared" si="17"/>
        <v>12.625617802745104</v>
      </c>
      <c r="I182" s="7">
        <f>'GDP Source - Filtered'!F182</f>
        <v>60.474535266596561</v>
      </c>
      <c r="J182" t="str">
        <f>'GDP Source - Filtered'!A182</f>
        <v>Sudan</v>
      </c>
    </row>
    <row r="183" spans="1:10">
      <c r="A183">
        <f t="shared" si="15"/>
        <v>182</v>
      </c>
      <c r="B183" t="str">
        <f>'GDP Source - Filtered'!E183</f>
        <v>Dem. Rep. of the Congo</v>
      </c>
      <c r="C183" t="str">
        <f>'GDP Source - Filtered'!B183</f>
        <v>COD</v>
      </c>
      <c r="D183" s="5">
        <f>'GDP Source - Filtered'!D183</f>
        <v>554.11761000000001</v>
      </c>
      <c r="E183" s="6">
        <f t="shared" si="16"/>
        <v>6.3173769566352096</v>
      </c>
      <c r="F183" s="6">
        <f>Parameters!$B$5</f>
        <v>5.5935987065355954</v>
      </c>
      <c r="G183" s="6">
        <f>Parameters!$B$6</f>
        <v>11.66576273922931</v>
      </c>
      <c r="H183" s="7">
        <f t="shared" si="17"/>
        <v>11.919609651561634</v>
      </c>
      <c r="I183" s="7">
        <f>'GDP Source - Filtered'!F183</f>
        <v>84.531400114273197</v>
      </c>
      <c r="J183" t="str">
        <f>'GDP Source - Filtered'!A183</f>
        <v>Congo, Dem. Rep.</v>
      </c>
    </row>
    <row r="184" spans="1:10">
      <c r="A184">
        <f t="shared" si="15"/>
        <v>183</v>
      </c>
      <c r="B184" t="str">
        <f>'GDP Source - Filtered'!E184</f>
        <v>Malawi</v>
      </c>
      <c r="C184" t="str">
        <f>'GDP Source - Filtered'!B184</f>
        <v>MWI</v>
      </c>
      <c r="D184" s="5">
        <f>'GDP Source - Filtered'!D184</f>
        <v>551.95152350000001</v>
      </c>
      <c r="E184" s="6">
        <f t="shared" si="16"/>
        <v>6.3134602226743386</v>
      </c>
      <c r="F184" s="6">
        <f>Parameters!$B$5</f>
        <v>5.5935987065355954</v>
      </c>
      <c r="G184" s="6">
        <f>Parameters!$B$6</f>
        <v>11.66576273922931</v>
      </c>
      <c r="H184" s="7">
        <f t="shared" si="17"/>
        <v>11.85510655283468</v>
      </c>
      <c r="I184" s="7">
        <f>'GDP Source - Filtered'!F184</f>
        <v>50.334075265725154</v>
      </c>
      <c r="J184" t="str">
        <f>'GDP Source - Filtered'!A184</f>
        <v>Malawi</v>
      </c>
    </row>
    <row r="185" spans="1:10">
      <c r="A185">
        <f t="shared" si="15"/>
        <v>184</v>
      </c>
      <c r="B185" t="str">
        <f>'GDP Source - Filtered'!E185</f>
        <v>Somalia</v>
      </c>
      <c r="C185" t="str">
        <f>'GDP Source - Filtered'!B185</f>
        <v>SOM</v>
      </c>
      <c r="D185" s="5">
        <f>'GDP Source - Filtered'!D185</f>
        <v>467.26991020000003</v>
      </c>
      <c r="E185" s="6">
        <f t="shared" si="16"/>
        <v>6.1469070568778035</v>
      </c>
      <c r="F185" s="6">
        <f>Parameters!$B$5</f>
        <v>5.5935987065355954</v>
      </c>
      <c r="G185" s="6">
        <f>Parameters!$B$6</f>
        <v>11.66576273922931</v>
      </c>
      <c r="H185" s="7">
        <f t="shared" si="17"/>
        <v>9.1122101999071177</v>
      </c>
      <c r="I185" s="7">
        <f>'GDP Source - Filtered'!F185</f>
        <v>24.72412380114265</v>
      </c>
      <c r="J185" t="str">
        <f>'GDP Source - Filtered'!A185</f>
        <v>Somalia, Fed. Rep.</v>
      </c>
    </row>
    <row r="186" spans="1:10">
      <c r="A186">
        <f t="shared" si="15"/>
        <v>185</v>
      </c>
      <c r="B186" t="str">
        <f>'GDP Source - Filtered'!E186</f>
        <v>Madagascar</v>
      </c>
      <c r="C186" t="str">
        <f>'GDP Source - Filtered'!B186</f>
        <v>MDG</v>
      </c>
      <c r="D186" s="5">
        <f>'GDP Source - Filtered'!D186</f>
        <v>453.95780969999998</v>
      </c>
      <c r="E186" s="6">
        <f t="shared" si="16"/>
        <v>6.1180042635468599</v>
      </c>
      <c r="F186" s="6">
        <f>Parameters!$B$5</f>
        <v>5.5935987065355954</v>
      </c>
      <c r="G186" s="6">
        <f>Parameters!$B$6</f>
        <v>11.66576273922931</v>
      </c>
      <c r="H186" s="7">
        <f t="shared" si="17"/>
        <v>8.6362218508551933</v>
      </c>
      <c r="I186" s="7">
        <f>'GDP Source - Filtered'!F186</f>
        <v>33.686427332853732</v>
      </c>
      <c r="J186" t="str">
        <f>'GDP Source - Filtered'!A186</f>
        <v>Madagascar</v>
      </c>
    </row>
    <row r="187" spans="1:10">
      <c r="A187">
        <f t="shared" si="15"/>
        <v>186</v>
      </c>
      <c r="B187" t="str">
        <f>'GDP Source - Filtered'!E187</f>
        <v>Central African Rep.</v>
      </c>
      <c r="C187" t="str">
        <f>'GDP Source - Filtered'!B187</f>
        <v>CAF</v>
      </c>
      <c r="D187" s="5">
        <f>'GDP Source - Filtered'!D187</f>
        <v>389.93830800000001</v>
      </c>
      <c r="E187" s="6">
        <f t="shared" si="16"/>
        <v>5.9659885419958014</v>
      </c>
      <c r="F187" s="6">
        <f>Parameters!$B$5</f>
        <v>5.5935987065355954</v>
      </c>
      <c r="G187" s="6">
        <f>Parameters!$B$6</f>
        <v>11.66576273922931</v>
      </c>
      <c r="H187" s="7">
        <f t="shared" si="17"/>
        <v>6.1327367550544842</v>
      </c>
      <c r="I187" s="7">
        <f>'GDP Source - Filtered'!F187</f>
        <v>30.610852770906117</v>
      </c>
      <c r="J187" t="str">
        <f>'GDP Source - Filtered'!A187</f>
        <v>Central African Republic</v>
      </c>
    </row>
    <row r="188" spans="1:10">
      <c r="A188">
        <f t="shared" si="15"/>
        <v>187</v>
      </c>
      <c r="B188" t="str">
        <f>'GDP Source - Filtered'!E188</f>
        <v>Afghanistan</v>
      </c>
      <c r="C188" t="str">
        <f>'GDP Source - Filtered'!B188</f>
        <v>AFG</v>
      </c>
      <c r="D188" s="5">
        <f>'GDP Source - Filtered'!D188</f>
        <v>374.37669620000003</v>
      </c>
      <c r="E188" s="6">
        <f t="shared" si="16"/>
        <v>5.9252624996107022</v>
      </c>
      <c r="F188" s="6">
        <f>Parameters!$B$5</f>
        <v>5.5935987065355954</v>
      </c>
      <c r="G188" s="6">
        <f>Parameters!$B$6</f>
        <v>11.66576273922931</v>
      </c>
      <c r="H188" s="7">
        <f t="shared" si="17"/>
        <v>5.462036125660708</v>
      </c>
      <c r="I188" s="7">
        <f>'GDP Source - Filtered'!F188</f>
        <v>36.049240418981</v>
      </c>
      <c r="J188" t="str">
        <f>'GDP Source - Filtered'!A188</f>
        <v>Afghanistan</v>
      </c>
    </row>
    <row r="189" spans="1:10">
      <c r="A189">
        <f t="shared" si="15"/>
        <v>188</v>
      </c>
      <c r="B189" t="str">
        <f>'GDP Source - Filtered'!E189</f>
        <v>Burundi</v>
      </c>
      <c r="C189" t="str">
        <f>'GDP Source - Filtered'!B189</f>
        <v>BDI</v>
      </c>
      <c r="D189" s="5">
        <f>'GDP Source - Filtered'!D189</f>
        <v>268.70085740000002</v>
      </c>
      <c r="E189" s="6">
        <f t="shared" si="16"/>
        <v>5.5935987065355954</v>
      </c>
      <c r="F189" s="6">
        <f>Parameters!$B$5</f>
        <v>5.5935987065355954</v>
      </c>
      <c r="G189" s="6">
        <f>Parameters!$B$6</f>
        <v>11.66576273922931</v>
      </c>
      <c r="H189" s="7">
        <f t="shared" si="17"/>
        <v>0</v>
      </c>
      <c r="I189" s="7">
        <f>'GDP Source - Filtered'!F189</f>
        <v>35.941092375102336</v>
      </c>
      <c r="J189" t="str">
        <f>'GDP Source - Filtered'!A189</f>
        <v>Burundi</v>
      </c>
    </row>
  </sheetData>
  <conditionalFormatting sqref="H2:H18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Parameters</vt:lpstr>
      <vt:lpstr>Step 3 Eligibility</vt:lpstr>
      <vt:lpstr>GDP Source - Filtered</vt:lpstr>
      <vt:lpstr>Step 4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McPherson-Smith</cp:lastModifiedBy>
  <dcterms:created xsi:type="dcterms:W3CDTF">2026-09-30T01:18:21Z</dcterms:created>
  <dcterms:modified xsi:type="dcterms:W3CDTF">2026-09-30T01:18:21Z</dcterms:modified>
</cp:coreProperties>
</file>