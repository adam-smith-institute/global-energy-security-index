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Parameters" sheetId="2" r:id="rId6"/>
    <sheet state="visible" name="Step 1 Scores" sheetId="3" r:id="rId7"/>
    <sheet state="visible" name="Step 2 Scores" sheetId="4" r:id="rId8"/>
    <sheet state="visible" name="Step 3 Scores" sheetId="5" r:id="rId9"/>
    <sheet state="visible" name="Step 4 Scores" sheetId="6" r:id="rId10"/>
    <sheet state="visible" name="Eligibility" sheetId="7" r:id="rId11"/>
    <sheet state="visible" name="Overall Ranking" sheetId="8" r:id="rId12"/>
  </sheets>
  <definedNames/>
  <calcPr/>
</workbook>
</file>

<file path=xl/sharedStrings.xml><?xml version="1.0" encoding="utf-8"?>
<sst xmlns="http://schemas.openxmlformats.org/spreadsheetml/2006/main" count="2611" uniqueCount="496">
  <si>
    <t>Energy Security Index — 2024 Final Ranking</t>
  </si>
  <si>
    <t>Methodology</t>
  </si>
  <si>
    <t>Overall score is the weighted average of the four component scores.</t>
  </si>
  <si>
    <t>Step 1</t>
  </si>
  <si>
    <t>Reliability Index (2024): 100 × (generation − wind − solar − tide and wave) / generation.</t>
  </si>
  <si>
    <t>Step 2</t>
  </si>
  <si>
    <t>Energy-source diversity component from the uploaded Step 2 HHI workbook.</t>
  </si>
  <si>
    <t>Step 3</t>
  </si>
  <si>
    <t>Import Security component from the BACI-based Step 3 workbook.</t>
  </si>
  <si>
    <t>Step 4</t>
  </si>
  <si>
    <t>GDP per capita log-normalized component from the Step 4 workbook.</t>
  </si>
  <si>
    <t>Eligibility</t>
  </si>
  <si>
    <t>A country must have a numeric score for all four components to receive an overall score.</t>
  </si>
  <si>
    <t>Default weights</t>
  </si>
  <si>
    <t>25% each for Steps 1, 2, 3, and 4.</t>
  </si>
  <si>
    <t>Final countries ranked</t>
  </si>
  <si>
    <t>Excluded at final merge</t>
  </si>
  <si>
    <t>Note</t>
  </si>
  <si>
    <t>Micronesia has Steps 2–4 but no numeric Step 1 Reliability Index, so it is excluded from the overall ranking.</t>
  </si>
  <si>
    <t>Audit note</t>
  </si>
  <si>
    <t>Step 3 scores refreshed 07/10/2026 from 'Step 3. BACI_2024 (corrected).xlsx' (weights 0.40 / 0.20 / 0.20 / 0.20; Guyana I = 0). Overall Ranking rows re-sorted by the new score.</t>
  </si>
  <si>
    <t>Component</t>
  </si>
  <si>
    <t>Weight</t>
  </si>
  <si>
    <t>Notes</t>
  </si>
  <si>
    <t>Reliability / baseload</t>
  </si>
  <si>
    <t>Diversity</t>
  </si>
  <si>
    <t>Import Security</t>
  </si>
  <si>
    <t>GDP per capita</t>
  </si>
  <si>
    <t>Weight Sum</t>
  </si>
  <si>
    <t>Should equal 100%</t>
  </si>
  <si>
    <t>ISO3</t>
  </si>
  <si>
    <t>Country</t>
  </si>
  <si>
    <t>Step 1 Score</t>
  </si>
  <si>
    <t>AFG</t>
  </si>
  <si>
    <t>Afghanistan</t>
  </si>
  <si>
    <t>ALB</t>
  </si>
  <si>
    <t>Albania</t>
  </si>
  <si>
    <t>DZA</t>
  </si>
  <si>
    <t>Algeria</t>
  </si>
  <si>
    <t>ASM</t>
  </si>
  <si>
    <t>American Samoa</t>
  </si>
  <si>
    <t>AGO</t>
  </si>
  <si>
    <t>Angola</t>
  </si>
  <si>
    <t>ATG</t>
  </si>
  <si>
    <t>Antigua and Barbuda</t>
  </si>
  <si>
    <t>ARG</t>
  </si>
  <si>
    <t>Argentina</t>
  </si>
  <si>
    <t>ARM</t>
  </si>
  <si>
    <t>Armenia</t>
  </si>
  <si>
    <t>ABW</t>
  </si>
  <si>
    <t>Aruba</t>
  </si>
  <si>
    <t>AUS</t>
  </si>
  <si>
    <t>Australia</t>
  </si>
  <si>
    <t>AUT</t>
  </si>
  <si>
    <t>Austria</t>
  </si>
  <si>
    <t>AZE</t>
  </si>
  <si>
    <t>Azerbaijan</t>
  </si>
  <si>
    <t>BHR</t>
  </si>
  <si>
    <t>Bahrain</t>
  </si>
  <si>
    <t>BGD</t>
  </si>
  <si>
    <t>Bangladesh</t>
  </si>
  <si>
    <t>BRB</t>
  </si>
  <si>
    <t>Barbados</t>
  </si>
  <si>
    <t>BLR</t>
  </si>
  <si>
    <t>Belarus</t>
  </si>
  <si>
    <t>BEL</t>
  </si>
  <si>
    <t>Belgium</t>
  </si>
  <si>
    <t>BLZ</t>
  </si>
  <si>
    <t>Belize</t>
  </si>
  <si>
    <t>BEN</t>
  </si>
  <si>
    <t>Benin</t>
  </si>
  <si>
    <t>BMU</t>
  </si>
  <si>
    <t>Bermuda</t>
  </si>
  <si>
    <t>BTN</t>
  </si>
  <si>
    <t>Bhutan</t>
  </si>
  <si>
    <t>BOL</t>
  </si>
  <si>
    <t>Bolivia</t>
  </si>
  <si>
    <t>BIH</t>
  </si>
  <si>
    <t>Bosnia and Herzegovina</t>
  </si>
  <si>
    <t>BWA</t>
  </si>
  <si>
    <t>Botswana</t>
  </si>
  <si>
    <t>BRA</t>
  </si>
  <si>
    <t>Brazil</t>
  </si>
  <si>
    <t>VGB</t>
  </si>
  <si>
    <t>British Virgin Islands</t>
  </si>
  <si>
    <t>BRN</t>
  </si>
  <si>
    <t>Brunei</t>
  </si>
  <si>
    <t>BGR</t>
  </si>
  <si>
    <t>Bulgaria</t>
  </si>
  <si>
    <t>BFA</t>
  </si>
  <si>
    <t>Burkina Faso</t>
  </si>
  <si>
    <t>MMR</t>
  </si>
  <si>
    <t>Burma</t>
  </si>
  <si>
    <t>BDI</t>
  </si>
  <si>
    <t>Burundi</t>
  </si>
  <si>
    <t>CPV</t>
  </si>
  <si>
    <t>Cabo Verde</t>
  </si>
  <si>
    <t>KHM</t>
  </si>
  <si>
    <t>Cambodia</t>
  </si>
  <si>
    <t>CMR</t>
  </si>
  <si>
    <t>Cameroon</t>
  </si>
  <si>
    <t>CAN</t>
  </si>
  <si>
    <t>Canada</t>
  </si>
  <si>
    <t>CYM</t>
  </si>
  <si>
    <t>Cayman Islands</t>
  </si>
  <si>
    <t>CAF</t>
  </si>
  <si>
    <t>Central African Republic</t>
  </si>
  <si>
    <t>TCD</t>
  </si>
  <si>
    <t>Chad</t>
  </si>
  <si>
    <t>CHL</t>
  </si>
  <si>
    <t>Chile</t>
  </si>
  <si>
    <t>CHN</t>
  </si>
  <si>
    <t>China</t>
  </si>
  <si>
    <t>COL</t>
  </si>
  <si>
    <t>Colombia</t>
  </si>
  <si>
    <t>COM</t>
  </si>
  <si>
    <t>Comoros</t>
  </si>
  <si>
    <t>COG</t>
  </si>
  <si>
    <t>Congo-Brazzaville</t>
  </si>
  <si>
    <t>COD</t>
  </si>
  <si>
    <t>Congo-Kinshasa</t>
  </si>
  <si>
    <t>COK</t>
  </si>
  <si>
    <t>Cook Islands</t>
  </si>
  <si>
    <t>CRI</t>
  </si>
  <si>
    <t>Costa Rica</t>
  </si>
  <si>
    <t>CIV</t>
  </si>
  <si>
    <t>Cote d'Ivoire</t>
  </si>
  <si>
    <t>HRV</t>
  </si>
  <si>
    <t>Croatia</t>
  </si>
  <si>
    <t>CUB</t>
  </si>
  <si>
    <t>Cuba</t>
  </si>
  <si>
    <t>CYP</t>
  </si>
  <si>
    <t>Cyprus</t>
  </si>
  <si>
    <t>CZE</t>
  </si>
  <si>
    <t>Czechia</t>
  </si>
  <si>
    <t>DNK</t>
  </si>
  <si>
    <t>Denmark</t>
  </si>
  <si>
    <t>DJI</t>
  </si>
  <si>
    <t>Djibouti</t>
  </si>
  <si>
    <t>DMA</t>
  </si>
  <si>
    <t>Dominica</t>
  </si>
  <si>
    <t>DOM</t>
  </si>
  <si>
    <t>Dominican Republic</t>
  </si>
  <si>
    <t>ECU</t>
  </si>
  <si>
    <t>Ecuador</t>
  </si>
  <si>
    <t>EGY</t>
  </si>
  <si>
    <t>Egypt</t>
  </si>
  <si>
    <t>SLV</t>
  </si>
  <si>
    <t>El Salvador</t>
  </si>
  <si>
    <t>GNQ</t>
  </si>
  <si>
    <t>Equatorial Guinea</t>
  </si>
  <si>
    <t>ERI</t>
  </si>
  <si>
    <t>Eritrea</t>
  </si>
  <si>
    <t>EST</t>
  </si>
  <si>
    <t>Estonia</t>
  </si>
  <si>
    <t>SWZ</t>
  </si>
  <si>
    <t>Eswatini</t>
  </si>
  <si>
    <t>ETH</t>
  </si>
  <si>
    <t>Ethiopia</t>
  </si>
  <si>
    <t>FLK</t>
  </si>
  <si>
    <t>Falkland Islands</t>
  </si>
  <si>
    <t>FRO</t>
  </si>
  <si>
    <t>Faroe Islands</t>
  </si>
  <si>
    <t>FJI</t>
  </si>
  <si>
    <t>Fiji</t>
  </si>
  <si>
    <t>FIN</t>
  </si>
  <si>
    <t>Finland</t>
  </si>
  <si>
    <t>FRA</t>
  </si>
  <si>
    <t>France</t>
  </si>
  <si>
    <t>PYF</t>
  </si>
  <si>
    <t>French Polynesia</t>
  </si>
  <si>
    <t>GAB</t>
  </si>
  <si>
    <t>Gabon</t>
  </si>
  <si>
    <t>GMB</t>
  </si>
  <si>
    <t>Gambia, The</t>
  </si>
  <si>
    <t>GEO</t>
  </si>
  <si>
    <t>Georgia</t>
  </si>
  <si>
    <t>DEU</t>
  </si>
  <si>
    <t>Germany</t>
  </si>
  <si>
    <t>GHA</t>
  </si>
  <si>
    <t>Ghana</t>
  </si>
  <si>
    <t>GIB</t>
  </si>
  <si>
    <t>Gibraltar</t>
  </si>
  <si>
    <t>GRC</t>
  </si>
  <si>
    <t>Greece</t>
  </si>
  <si>
    <t>GRL</t>
  </si>
  <si>
    <t>Greenland</t>
  </si>
  <si>
    <t>GRD</t>
  </si>
  <si>
    <t>Grenada</t>
  </si>
  <si>
    <t>GUM</t>
  </si>
  <si>
    <t>Guam</t>
  </si>
  <si>
    <t>GTM</t>
  </si>
  <si>
    <t>Guatemala</t>
  </si>
  <si>
    <t>GIN</t>
  </si>
  <si>
    <t>Guinea</t>
  </si>
  <si>
    <t>GNB</t>
  </si>
  <si>
    <t>Guinea-Bissau</t>
  </si>
  <si>
    <t>GUY</t>
  </si>
  <si>
    <t>Guyana</t>
  </si>
  <si>
    <t>HTI</t>
  </si>
  <si>
    <t>Haiti</t>
  </si>
  <si>
    <t>HND</t>
  </si>
  <si>
    <t>Honduras</t>
  </si>
  <si>
    <t>HKG</t>
  </si>
  <si>
    <t>Hong Kong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</si>
  <si>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</si>
  <si>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</si>
  <si>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</si>
  <si>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</si>
  <si>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</si>
  <si>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</si>
  <si>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</si>
  <si>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</si>
  <si>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IRN</t>
  </si>
  <si>
    <t>Iran</t>
  </si>
  <si>
    <t>IRQ</t>
  </si>
  <si>
    <t>Iraq</t>
  </si>
  <si>
    <t>IRL</t>
  </si>
  <si>
    <t>Ireland</t>
  </si>
  <si>
    <t>ISR</t>
  </si>
  <si>
    <t>Israel</t>
  </si>
  <si>
    <t>ITA</t>
  </si>
  <si>
    <t>Italy</t>
  </si>
  <si>
    <t>JAM</t>
  </si>
  <si>
    <t>Jamaica</t>
  </si>
  <si>
    <t>JPN</t>
  </si>
  <si>
    <t>Japan</t>
  </si>
  <si>
    <t>JOR</t>
  </si>
  <si>
    <t>Jordan</t>
  </si>
  <si>
    <t>KAZ</t>
  </si>
  <si>
    <t>Kazakhstan</t>
  </si>
  <si>
    <t>KEN</t>
  </si>
  <si>
    <t>Kenya</t>
  </si>
  <si>
    <t>KIR</t>
  </si>
  <si>
    <t>Kiribati</t>
  </si>
  <si>
    <t>XKS</t>
  </si>
  <si>
    <t>Kosovo</t>
  </si>
  <si>
    <t>KWT</t>
  </si>
  <si>
    <t>Kuwait</t>
  </si>
  <si>
    <t>KGZ</t>
  </si>
  <si>
    <t>Kyrgyzstan</t>
  </si>
  <si>
    <t>LAO</t>
  </si>
  <si>
    <t>Laos</t>
  </si>
  <si>
    <t>LVA</t>
  </si>
  <si>
    <t>Latvia</t>
  </si>
  <si>
    <t>LBN</t>
  </si>
  <si>
    <t>Lebanon</t>
  </si>
  <si>
    <t>LSO</t>
  </si>
  <si>
    <t>Lesotho</t>
  </si>
  <si>
    <t>LBR</t>
  </si>
  <si>
    <t>Liberia</t>
  </si>
  <si>
    <t>LBY</t>
  </si>
  <si>
    <t>Libya</t>
  </si>
  <si>
    <t>LTU</t>
  </si>
  <si>
    <t>Lithuania</t>
  </si>
  <si>
    <t>LUX</t>
  </si>
  <si>
    <t>Luxembourg</t>
  </si>
  <si>
    <t>MAC</t>
  </si>
  <si>
    <t>Macau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</si>
  <si>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</si>
  <si>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</si>
  <si>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</si>
  <si>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</si>
  <si>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</si>
  <si>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</si>
  <si>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</si>
  <si>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</si>
  <si>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</si>
  <si>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</si>
  <si>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</si>
  <si>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</si>
  <si>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MRT</t>
  </si>
  <si>
    <t>Mauritania</t>
  </si>
  <si>
    <t>MUS</t>
  </si>
  <si>
    <t>Mauritius</t>
  </si>
  <si>
    <t>MEX</t>
  </si>
  <si>
    <t>Mexico</t>
  </si>
  <si>
    <t>MDA</t>
  </si>
  <si>
    <t>Moldova</t>
  </si>
  <si>
    <t>MNG</t>
  </si>
  <si>
    <t>Mongolia</t>
  </si>
  <si>
    <t>MNE</t>
  </si>
  <si>
    <t>Montenegro</t>
  </si>
  <si>
    <t>MSR</t>
  </si>
  <si>
    <t>Montserrat</t>
  </si>
  <si>
    <t>MAR</t>
  </si>
  <si>
    <t>Morocco</t>
  </si>
  <si>
    <t>MOZ</t>
  </si>
  <si>
    <t>Mozambique</t>
  </si>
  <si>
    <t>NAM</t>
  </si>
  <si>
    <t>Namibia</t>
  </si>
  <si>
    <t>NRU</t>
  </si>
  <si>
    <t>Nauru</t>
  </si>
  <si>
    <t>NPL</t>
  </si>
  <si>
    <t>Nepal</t>
  </si>
  <si>
    <t>NLD</t>
  </si>
  <si>
    <t>Netherlands</t>
  </si>
  <si>
    <t>NCL</t>
  </si>
  <si>
    <t>New Caledonia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</si>
  <si>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</si>
  <si>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</si>
  <si>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</si>
  <si>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</si>
  <si>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</si>
  <si>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</si>
  <si>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</si>
  <si>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</si>
  <si>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NIU</t>
  </si>
  <si>
    <t>Niue</t>
  </si>
  <si>
    <t>PRK</t>
  </si>
  <si>
    <t>North Korea</t>
  </si>
  <si>
    <t>MKD</t>
  </si>
  <si>
    <t>North Macedonia</t>
  </si>
  <si>
    <t>NOR</t>
  </si>
  <si>
    <t>Norway</t>
  </si>
  <si>
    <t>OMN</t>
  </si>
  <si>
    <t>Oman</t>
  </si>
  <si>
    <t>PAK</t>
  </si>
  <si>
    <t>Pakistan</t>
  </si>
  <si>
    <t>PSE</t>
  </si>
  <si>
    <t>Palestinian Territories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</si>
  <si>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</si>
  <si>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</si>
  <si>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</si>
  <si>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</si>
  <si>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</si>
  <si>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</si>
  <si>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</si>
  <si>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</si>
  <si>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</si>
  <si>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</si>
  <si>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POL</t>
  </si>
  <si>
    <t>Poland</t>
  </si>
  <si>
    <t>PRT</t>
  </si>
  <si>
    <t>Portugal</t>
  </si>
  <si>
    <t>PRI</t>
  </si>
  <si>
    <t>Puerto Rico</t>
  </si>
  <si>
    <t>QAT</t>
  </si>
  <si>
    <t>Qatar</t>
  </si>
  <si>
    <t>ROU</t>
  </si>
  <si>
    <t>Romania</t>
  </si>
  <si>
    <t>RUS</t>
  </si>
  <si>
    <t>Russia</t>
  </si>
  <si>
    <t>RWA</t>
  </si>
  <si>
    <t>Rwanda</t>
  </si>
  <si>
    <t>SHN</t>
  </si>
  <si>
    <t>Saint Helena</t>
  </si>
  <si>
    <t>KNA</t>
  </si>
  <si>
    <t>Saint Kitts and Nevis</t>
  </si>
  <si>
    <t>LCA</t>
  </si>
  <si>
    <t>Saint Lucia</t>
  </si>
  <si>
    <t>SPM</t>
  </si>
  <si>
    <t>Saint Pierre and Miquelon</t>
  </si>
  <si>
    <t>VCT</t>
  </si>
  <si>
    <t>Saint Vincent/Grenadines</t>
  </si>
  <si>
    <t>WSM</t>
  </si>
  <si>
    <t>Samoa</t>
  </si>
  <si>
    <t>STP</t>
  </si>
  <si>
    <t>Sao Tome and Principe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</si>
  <si>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</si>
  <si>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</si>
  <si>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</si>
  <si>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</si>
  <si>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</si>
  <si>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</si>
  <si>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</si>
  <si>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</si>
  <si>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</si>
  <si>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</si>
  <si>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</si>
  <si>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</si>
  <si>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SVK</t>
  </si>
  <si>
    <t>Slovakia</t>
  </si>
  <si>
    <t>SVN</t>
  </si>
  <si>
    <t>Slovenia</t>
  </si>
  <si>
    <t>SLB</t>
  </si>
  <si>
    <t>Solomon Islands</t>
  </si>
  <si>
    <t>SOM</t>
  </si>
  <si>
    <t>Somalia</t>
  </si>
  <si>
    <t>ZAF</t>
  </si>
  <si>
    <t>South Africa</t>
  </si>
  <si>
    <t>KOR</t>
  </si>
  <si>
    <t>South Korea</t>
  </si>
  <si>
    <t>SSD</t>
  </si>
  <si>
    <t>South Sudan</t>
  </si>
  <si>
    <t>ESP</t>
  </si>
  <si>
    <t>Spain</t>
  </si>
  <si>
    <t>LKA</t>
  </si>
  <si>
    <t>Sri Lanka</t>
  </si>
  <si>
    <t>SDN</t>
  </si>
  <si>
    <t>Sudan</t>
  </si>
  <si>
    <t>SUR</t>
  </si>
  <si>
    <t>Suriname</t>
  </si>
  <si>
    <t>SWE</t>
  </si>
  <si>
    <t>Sweden</t>
  </si>
  <si>
    <t>CHE</t>
  </si>
  <si>
    <t>Switzerland</t>
  </si>
  <si>
    <t>SYR</t>
  </si>
  <si>
    <t>Syria</t>
  </si>
  <si>
    <t>TWN</t>
  </si>
  <si>
    <t>Taiwan</t>
  </si>
  <si>
    <t>TJK</t>
  </si>
  <si>
    <t>Tajikistan</t>
  </si>
  <si>
    <t>TZA</t>
  </si>
  <si>
    <t>Tanzania</t>
  </si>
  <si>
    <t>THA</t>
  </si>
  <si>
    <t>Thailand</t>
  </si>
  <si>
    <t>BHS</t>
  </si>
  <si>
    <t>The Bahamas</t>
  </si>
  <si>
    <t>TLS</t>
  </si>
  <si>
    <t>Timor-Leste</t>
  </si>
  <si>
    <t>TGO</t>
  </si>
  <si>
    <t>Togo</t>
  </si>
  <si>
    <t>TON</t>
  </si>
  <si>
    <t>Tonga</t>
  </si>
  <si>
    <t>TTO</t>
  </si>
  <si>
    <t>Trinidad and Tobago</t>
  </si>
  <si>
    <t>TUN</t>
  </si>
  <si>
    <t>Tunisia</t>
  </si>
  <si>
    <t>TUR</t>
  </si>
  <si>
    <t>Turkiye</t>
  </si>
  <si>
    <t>TKM</t>
  </si>
  <si>
    <t>Turkmenistan</t>
  </si>
  <si>
    <t>TCA</t>
  </si>
  <si>
    <t>Turks and Caicos Islands</t>
  </si>
  <si>
    <t>VIR</t>
  </si>
  <si>
    <t>U.S. Virgin Islands</t>
  </si>
  <si>
    <t>UGA</t>
  </si>
  <si>
    <t>Uganda</t>
  </si>
  <si>
    <t>UKR</t>
  </si>
  <si>
    <t>Ukraine</t>
  </si>
  <si>
    <t>ARE</t>
  </si>
  <si>
    <t>United Arab Emirates</t>
  </si>
  <si>
    <t>GBR</t>
  </si>
  <si>
    <t>United Kingdom</t>
  </si>
  <si>
    <t>USA</t>
  </si>
  <si>
    <t>United States</t>
  </si>
  <si>
    <t>URY</t>
  </si>
  <si>
    <t>Uruguay</t>
  </si>
  <si>
    <t>UZB</t>
  </si>
  <si>
    <t>Uzbekistan</t>
  </si>
  <si>
    <t>VUT</t>
  </si>
  <si>
    <t>Vanuatu</t>
  </si>
  <si>
    <t>VEN</t>
  </si>
  <si>
    <t>Venezuela</t>
  </si>
  <si>
    <t>VNM</t>
  </si>
  <si>
    <t>Vietnam</t>
  </si>
  <si>
    <t>YEM</t>
  </si>
  <si>
    <t>Yemen</t>
  </si>
  <si>
    <t>ZMB</t>
  </si>
  <si>
    <t>Zambia</t>
  </si>
  <si>
    <t>ZWE</t>
  </si>
  <si>
    <t>Zimbabwe</t>
  </si>
  <si>
    <t>Step 2 Score</t>
  </si>
  <si>
    <t>FSM</t>
  </si>
  <si>
    <t>Micronesia</t>
  </si>
  <si>
    <t>Step 3 Score</t>
  </si>
  <si>
    <t>Bahamas</t>
  </si>
  <si>
    <t>Bolivia (Plurinational State of)</t>
  </si>
  <si>
    <t>Bosnia Herzegovina</t>
  </si>
  <si>
    <t>Brunei Darussalam</t>
  </si>
  <si>
    <t>Cayman Isds</t>
  </si>
  <si>
    <t>Central African Rep.</t>
  </si>
  <si>
    <t>China, Hong Kong SAR</t>
  </si>
  <si>
    <t>China, Macao SAR</t>
  </si>
  <si>
    <t>Congo</t>
  </si>
  <si>
    <t>CÃ´te d'Ivoire</t>
  </si>
  <si>
    <t>Dem. People's Rep. of Korea</t>
  </si>
  <si>
    <t>Dem. Rep. of the Congo</t>
  </si>
  <si>
    <t>Dominican Rep.</t>
  </si>
  <si>
    <t>FS Micronesia</t>
  </si>
  <si>
    <t>Gambia</t>
  </si>
  <si>
    <t>Lao People's Dem. Rep.</t>
  </si>
  <si>
    <t>Myanmar</t>
  </si>
  <si>
    <t>Rep. of Korea</t>
  </si>
  <si>
    <t>Rep. of Moldova</t>
  </si>
  <si>
    <t>Russian Federation</t>
  </si>
  <si>
    <t>Saint Vincent and the Grenadines</t>
  </si>
  <si>
    <t>Solomon Isds</t>
  </si>
  <si>
    <t>State of Palestine</t>
  </si>
  <si>
    <t>TÃ¼rkiye</t>
  </si>
  <si>
    <t>United Rep. of Tanzania</t>
  </si>
  <si>
    <t>Viet Nam</t>
  </si>
  <si>
    <t>GDP per Capita (constant 2015 US$)</t>
  </si>
  <si>
    <t>Step 4 Score</t>
  </si>
  <si>
    <t>Eligible for Overall Ranking</t>
  </si>
  <si>
    <t>Exclusion Reason</t>
  </si>
  <si>
    <t>Yes</t>
  </si>
  <si>
    <t>No</t>
  </si>
  <si>
    <t>Missing Step 1 score</t>
  </si>
  <si>
    <t>Overall Rank</t>
  </si>
  <si>
    <t>Overall Score</t>
  </si>
  <si>
    <t>Macao SAR (PRC)</t>
  </si>
  <si>
    <t>Hong Kong SAR (PRC)</t>
  </si>
  <si>
    <t>Turkey</t>
  </si>
  <si>
    <t>Côte d'Ivoire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</si>
</sst>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%"/>
    <numFmt numFmtId="165" formatCode="0.0000"/>
    <numFmt numFmtId="166" formatCode="\$#,##0.00"/>
  </numFmts>
  <fonts count="8">
    <font>
      <sz val="11.0"/>
      <color rgb="FF000000"/>
      <name val="Calibri"/>
      <scheme val="minor"/>
    </font>
    <font>
      <b/>
      <sz val="14.0"/>
      <color rgb="FFFFFFFF"/>
      <name val="Calibri"/>
    </font>
    <font>
      <b/>
      <sz val="11.0"/>
      <color rgb="FF1F1F1F"/>
      <name val="Calibri"/>
    </font>
    <font>
      <sz val="11.0"/>
      <color theme="1"/>
      <name val="Calibri"/>
    </font>
    <font>
      <b/>
      <sz val="11.0"/>
      <color theme="1"/>
      <name val="Cambria"/>
    </font>
    <font>
      <b/>
      <sz val="11.0"/>
      <color rgb="FFFFFFFF"/>
      <name val="Calibri"/>
    </font>
    <font>
      <color theme="1"/>
      <name val="Calibri"/>
      <scheme val="minor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D9EAF7"/>
        <bgColor rgb="FFD9EAF7"/>
      </patternFill>
    </fill>
    <fill>
      <patternFill patternType="solid">
        <fgColor rgb="FF1F4E78"/>
        <bgColor rgb="FF1F4E7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1" fillId="3" fontId="2" numFmtId="0" xfId="0" applyAlignment="1" applyBorder="1" applyFill="1" applyFont="1">
      <alignment shrinkToFit="0" vertical="center" wrapText="1"/>
    </xf>
    <xf borderId="0" fillId="0" fontId="3" numFmtId="0" xfId="0" applyAlignment="1" applyFont="1">
      <alignment shrinkToFit="0" vertical="bottom" wrapText="1"/>
    </xf>
    <xf borderId="0" fillId="0" fontId="4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4" fontId="5" numFmtId="0" xfId="0" applyAlignment="1" applyBorder="1" applyFill="1" applyFont="1">
      <alignment horizontal="center" shrinkToFit="0" vertical="center" wrapText="1"/>
    </xf>
    <xf borderId="0" fillId="0" fontId="6" numFmtId="0" xfId="0" applyFont="1"/>
    <xf borderId="0" fillId="0" fontId="3" numFmtId="164" xfId="0" applyAlignment="1" applyFont="1" applyNumberFormat="1">
      <alignment shrinkToFit="0" vertical="bottom" wrapText="0"/>
    </xf>
    <xf borderId="0" fillId="0" fontId="3" numFmtId="165" xfId="0" applyAlignment="1" applyFont="1" applyNumberFormat="1">
      <alignment shrinkToFit="0" vertical="bottom" wrapText="0"/>
    </xf>
    <xf borderId="0" fillId="0" fontId="3" numFmtId="166" xfId="0" applyAlignment="1" applyFont="1" applyNumberFormat="1">
      <alignment shrinkToFit="0" vertical="bottom" wrapText="0"/>
    </xf>
    <xf borderId="0" fillId="0" fontId="7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shrinkToFit="0" vertical="center" wrapText="0"/>
    </xf>
    <xf borderId="0" fillId="0" fontId="3" numFmtId="165" xfId="0" applyAlignment="1" applyFont="1" applyNumberFormat="1">
      <alignment shrinkToFit="0" vertical="bottom" wrapText="0"/>
    </xf>
    <xf borderId="0" fillId="0" fontId="3" numFmtId="0" xfId="0" applyAlignment="1" applyFont="1">
      <alignment shrinkToFit="0" vertical="bottom" wrapText="1"/>
    </xf>
    <xf borderId="0" fillId="0" fontId="6" numFmtId="0" xfId="0" applyAlignment="1" applyFont="1">
      <alignment shrinkToFit="0" vertical="center" wrapText="0"/>
    </xf>
    <xf borderId="0" fillId="0" fontId="3" numFmtId="166" xfId="0" applyAlignment="1" applyFont="1" applyNumberFormat="1">
      <alignment shrinkToFit="0" vertical="bottom" wrapText="0"/>
    </xf>
  </cellXfs>
  <cellStyles count="1">
    <cellStyle xfId="0" name="Normal" builtinId="0"/>
  </cellStyles>
  <dxfs count="7">
    <dxf>
      <font>
        <b/>
        <color rgb="FF990000"/>
      </font>
      <fill>
        <patternFill patternType="solid">
          <fgColor rgb="FFF4CCCC"/>
          <bgColor rgb="FFF4CCCC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b/>
        <color rgb="FF274E13"/>
      </font>
      <fill>
        <patternFill patternType="solid">
          <fgColor rgb="FFD9EAD3"/>
          <bgColor rgb="FFD9EAD3"/>
        </patternFill>
      </fill>
      <border/>
    </dxf>
  </dxfs>
  <tableStyles count="2">
    <tableStyle count="4" pivot="0" name="Eligibility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Overall Ranking-style">
      <tableStyleElement dxfId="2" type="headerRow"/>
      <tableStyleElement dxfId="3" type="firstRowStripe"/>
      <tableStyleElement dxfId="4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89" displayName="Country_Eligibility_Ranking" name="Country_Eligibility_Ranking" id="1">
  <tableColumns count="8">
    <tableColumn name="ISO3" id="1"/>
    <tableColumn name="Country" id="2"/>
    <tableColumn name="Step 1 Score" id="3"/>
    <tableColumn name="Step 2 Score" id="4"/>
    <tableColumn name="Step 3 Score" id="5"/>
    <tableColumn name="Step 4 Score" id="6"/>
    <tableColumn name="Eligible for Overall Ranking" id="7"/>
    <tableColumn name="Exclusion Reason" id="8"/>
  </tableColumns>
  <tableStyleInfo name="Eligibility-style" showColumnStripes="0" showFirstColumn="1" showLastColumn="1" showRowStripes="1"/>
</table>
</file>

<file path=xl/tables/table2.xml><?xml version="1.0" encoding="utf-8"?>
<table xmlns="http://schemas.openxmlformats.org/spreadsheetml/2006/main" ref="A1:I188" displayName="Table1" name="Table1" id="2">
  <tableColumns count="9">
    <tableColumn name="Overall Rank" id="1"/>
    <tableColumn name="Country" id="2"/>
    <tableColumn name="ISO3" id="3"/>
    <tableColumn name="Step 1 Score" id="4"/>
    <tableColumn name="Step 2 Score" id="5"/>
    <tableColumn name="Step 3 Score" id="6"/>
    <tableColumn name="Step 4 Score" id="7"/>
    <tableColumn name="Overall Score" id="8"/>
    <tableColumn name="GDP per Capita (constant 2015 US$)" id="9"/>
  </tableColumns>
  <tableStyleInfo name="Overall Rankin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1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82.0"/>
    <col customWidth="1" min="3" max="26" width="8.86"/>
  </cols>
  <sheetData>
    <row r="1" ht="37.5" customHeight="1">
      <c r="A1" s="1" t="s">
        <v>0</v>
      </c>
      <c r="B1" s="1"/>
    </row>
    <row r="2" ht="15.75" customHeight="1">
      <c r="A2" s="2" t="s">
        <v>1</v>
      </c>
      <c r="B2" s="3" t="s">
        <v>2</v>
      </c>
    </row>
    <row r="3" ht="15.75" customHeight="1">
      <c r="A3" s="2" t="s">
        <v>3</v>
      </c>
      <c r="B3" s="3" t="s">
        <v>4</v>
      </c>
    </row>
    <row r="4" ht="15.75" customHeight="1">
      <c r="A4" s="2" t="s">
        <v>5</v>
      </c>
      <c r="B4" s="3" t="s">
        <v>6</v>
      </c>
    </row>
    <row r="5" ht="15.75" customHeight="1">
      <c r="A5" s="2" t="s">
        <v>7</v>
      </c>
      <c r="B5" s="3" t="s">
        <v>8</v>
      </c>
    </row>
    <row r="6" ht="15.75" customHeight="1">
      <c r="A6" s="2" t="s">
        <v>9</v>
      </c>
      <c r="B6" s="3" t="s">
        <v>10</v>
      </c>
    </row>
    <row r="7" ht="15.75" customHeight="1">
      <c r="A7" s="2" t="s">
        <v>11</v>
      </c>
      <c r="B7" s="3" t="s">
        <v>12</v>
      </c>
    </row>
    <row r="8" ht="15.75" customHeight="1">
      <c r="A8" s="2" t="s">
        <v>13</v>
      </c>
      <c r="B8" s="3" t="s">
        <v>14</v>
      </c>
    </row>
    <row r="9" ht="15.75" customHeight="1">
      <c r="A9" s="2" t="s">
        <v>15</v>
      </c>
      <c r="B9" s="3">
        <v>187.0</v>
      </c>
    </row>
    <row r="10" ht="15.75" customHeight="1">
      <c r="A10" s="2" t="s">
        <v>16</v>
      </c>
      <c r="B10" s="3">
        <v>1.0</v>
      </c>
    </row>
    <row r="11" ht="30.0" customHeight="1">
      <c r="A11" s="2" t="s">
        <v>17</v>
      </c>
      <c r="B11" s="3" t="s">
        <v>18</v>
      </c>
    </row>
    <row r="12" ht="13.5" customHeight="1">
      <c r="A12" s="4" t="s">
        <v>19</v>
      </c>
      <c r="B12" s="5" t="s">
        <v>20</v>
      </c>
    </row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4.0"/>
    <col customWidth="1" min="3" max="3" width="38.0"/>
    <col customWidth="1" min="4" max="26" width="8.86"/>
  </cols>
  <sheetData>
    <row r="1" ht="15.75" customHeight="1">
      <c r="A1" s="6" t="s">
        <v>21</v>
      </c>
      <c r="B1" s="6" t="s">
        <v>22</v>
      </c>
      <c r="C1" s="6" t="s">
        <v>23</v>
      </c>
    </row>
    <row r="2" ht="13.5" customHeight="1">
      <c r="A2" s="7" t="s">
        <v>3</v>
      </c>
      <c r="B2" s="8">
        <v>0.25</v>
      </c>
      <c r="C2" s="5" t="s">
        <v>24</v>
      </c>
    </row>
    <row r="3" ht="13.5" customHeight="1">
      <c r="A3" s="7" t="s">
        <v>5</v>
      </c>
      <c r="B3" s="8">
        <v>0.25</v>
      </c>
      <c r="C3" s="5" t="s">
        <v>25</v>
      </c>
    </row>
    <row r="4" ht="13.5" customHeight="1">
      <c r="A4" s="7" t="s">
        <v>7</v>
      </c>
      <c r="B4" s="8">
        <v>0.25</v>
      </c>
      <c r="C4" s="5" t="s">
        <v>26</v>
      </c>
    </row>
    <row r="5" ht="13.5" customHeight="1">
      <c r="A5" s="7" t="s">
        <v>9</v>
      </c>
      <c r="B5" s="8">
        <v>0.25</v>
      </c>
      <c r="C5" s="5" t="s">
        <v>27</v>
      </c>
    </row>
    <row r="6" ht="13.5" customHeight="1">
      <c r="A6" s="7" t="s">
        <v>28</v>
      </c>
      <c r="B6" s="8">
        <f>SUM(B2:B5)</f>
        <v>1</v>
      </c>
      <c r="C6" s="5" t="s">
        <v>29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conditionalFormatting sqref="B6">
    <cfRule type="cellIs" dxfId="0" priority="1" operator="notEqual">
      <formula>1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30.0"/>
    <col customWidth="1" min="3" max="3" width="18.0"/>
    <col customWidth="1" min="4" max="26" width="8.86"/>
  </cols>
  <sheetData>
    <row r="1" ht="15.75" customHeight="1">
      <c r="A1" s="6" t="s">
        <v>30</v>
      </c>
      <c r="B1" s="6" t="s">
        <v>31</v>
      </c>
      <c r="C1" s="6" t="s">
        <v>32</v>
      </c>
    </row>
    <row r="2" ht="13.5" customHeight="1">
      <c r="A2" s="7" t="s">
        <v>33</v>
      </c>
      <c r="B2" s="7" t="s">
        <v>34</v>
      </c>
      <c r="C2" s="9">
        <v>89.1337914224883</v>
      </c>
    </row>
    <row r="3" ht="13.5" customHeight="1">
      <c r="A3" s="7" t="s">
        <v>35</v>
      </c>
      <c r="B3" s="7" t="s">
        <v>36</v>
      </c>
      <c r="C3" s="9">
        <v>95.9316529144539</v>
      </c>
    </row>
    <row r="4" ht="13.5" customHeight="1">
      <c r="A4" s="7" t="s">
        <v>37</v>
      </c>
      <c r="B4" s="7" t="s">
        <v>38</v>
      </c>
      <c r="C4" s="9">
        <v>98.943858998437</v>
      </c>
    </row>
    <row r="5" ht="13.5" customHeight="1">
      <c r="A5" s="7" t="s">
        <v>39</v>
      </c>
      <c r="B5" s="7" t="s">
        <v>40</v>
      </c>
      <c r="C5" s="9">
        <v>96.6835754291074</v>
      </c>
    </row>
    <row r="6" ht="13.5" customHeight="1">
      <c r="A6" s="7" t="s">
        <v>41</v>
      </c>
      <c r="B6" s="7" t="s">
        <v>42</v>
      </c>
      <c r="C6" s="9">
        <v>97.1698750376941</v>
      </c>
    </row>
    <row r="7" ht="13.5" customHeight="1">
      <c r="A7" s="7" t="s">
        <v>43</v>
      </c>
      <c r="B7" s="7" t="s">
        <v>44</v>
      </c>
      <c r="C7" s="9">
        <v>92.8370916641414</v>
      </c>
    </row>
    <row r="8" ht="13.5" customHeight="1">
      <c r="A8" s="7" t="s">
        <v>45</v>
      </c>
      <c r="B8" s="7" t="s">
        <v>46</v>
      </c>
      <c r="C8" s="9">
        <v>86.492031546978</v>
      </c>
    </row>
    <row r="9" ht="13.5" customHeight="1">
      <c r="A9" s="7" t="s">
        <v>47</v>
      </c>
      <c r="B9" s="7" t="s">
        <v>48</v>
      </c>
      <c r="C9" s="9">
        <v>90.2230047060617</v>
      </c>
    </row>
    <row r="10" ht="13.5" customHeight="1">
      <c r="A10" s="7" t="s">
        <v>49</v>
      </c>
      <c r="B10" s="7" t="s">
        <v>50</v>
      </c>
      <c r="C10" s="9">
        <v>83.3422036183714</v>
      </c>
    </row>
    <row r="11" ht="13.5" customHeight="1">
      <c r="A11" s="7" t="s">
        <v>51</v>
      </c>
      <c r="B11" s="7" t="s">
        <v>52</v>
      </c>
      <c r="C11" s="9">
        <v>66.9946371539043</v>
      </c>
    </row>
    <row r="12" ht="13.5" customHeight="1">
      <c r="A12" s="7" t="s">
        <v>53</v>
      </c>
      <c r="B12" s="7" t="s">
        <v>54</v>
      </c>
      <c r="C12" s="9">
        <v>82.3645817764699</v>
      </c>
    </row>
    <row r="13" ht="13.5" customHeight="1">
      <c r="A13" s="7" t="s">
        <v>55</v>
      </c>
      <c r="B13" s="7" t="s">
        <v>56</v>
      </c>
      <c r="C13" s="9">
        <v>99.3998089119435</v>
      </c>
    </row>
    <row r="14" ht="13.5" customHeight="1">
      <c r="A14" s="7" t="s">
        <v>57</v>
      </c>
      <c r="B14" s="7" t="s">
        <v>58</v>
      </c>
      <c r="C14" s="9">
        <v>99.7163787555025</v>
      </c>
    </row>
    <row r="15" ht="13.5" customHeight="1">
      <c r="A15" s="7" t="s">
        <v>59</v>
      </c>
      <c r="B15" s="7" t="s">
        <v>60</v>
      </c>
      <c r="C15" s="9">
        <v>98.7990130135067</v>
      </c>
    </row>
    <row r="16" ht="13.5" customHeight="1">
      <c r="A16" s="7" t="s">
        <v>61</v>
      </c>
      <c r="B16" s="7" t="s">
        <v>62</v>
      </c>
      <c r="C16" s="9">
        <v>91.1284004109668</v>
      </c>
    </row>
    <row r="17" ht="13.5" customHeight="1">
      <c r="A17" s="7" t="s">
        <v>63</v>
      </c>
      <c r="B17" s="7" t="s">
        <v>64</v>
      </c>
      <c r="C17" s="9">
        <v>98.9871374943402</v>
      </c>
    </row>
    <row r="18" ht="13.5" customHeight="1">
      <c r="A18" s="7" t="s">
        <v>65</v>
      </c>
      <c r="B18" s="7" t="s">
        <v>66</v>
      </c>
      <c r="C18" s="9">
        <v>68.9215848794817</v>
      </c>
    </row>
    <row r="19" ht="13.5" customHeight="1">
      <c r="A19" s="7" t="s">
        <v>67</v>
      </c>
      <c r="B19" s="7" t="s">
        <v>68</v>
      </c>
      <c r="C19" s="9">
        <v>97.4339915770047</v>
      </c>
    </row>
    <row r="20" ht="13.5" customHeight="1">
      <c r="A20" s="7" t="s">
        <v>69</v>
      </c>
      <c r="B20" s="7" t="s">
        <v>70</v>
      </c>
      <c r="C20" s="9">
        <v>96.2574719830311</v>
      </c>
    </row>
    <row r="21" ht="13.5" customHeight="1">
      <c r="A21" s="7" t="s">
        <v>71</v>
      </c>
      <c r="B21" s="7" t="s">
        <v>72</v>
      </c>
      <c r="C21" s="9">
        <v>100.0</v>
      </c>
    </row>
    <row r="22" ht="13.5" customHeight="1">
      <c r="A22" s="7" t="s">
        <v>73</v>
      </c>
      <c r="B22" s="7" t="s">
        <v>74</v>
      </c>
      <c r="C22" s="9">
        <v>99.9909099207507</v>
      </c>
    </row>
    <row r="23" ht="13.5" customHeight="1">
      <c r="A23" s="7" t="s">
        <v>75</v>
      </c>
      <c r="B23" s="7" t="s">
        <v>76</v>
      </c>
      <c r="C23" s="9">
        <v>93.5130203107963</v>
      </c>
    </row>
    <row r="24" ht="13.5" customHeight="1">
      <c r="A24" s="7" t="s">
        <v>77</v>
      </c>
      <c r="B24" s="7" t="s">
        <v>78</v>
      </c>
      <c r="C24" s="9">
        <v>96.0988236805972</v>
      </c>
    </row>
    <row r="25" ht="13.5" customHeight="1">
      <c r="A25" s="7" t="s">
        <v>79</v>
      </c>
      <c r="B25" s="7" t="s">
        <v>80</v>
      </c>
      <c r="C25" s="9">
        <v>99.8002648905913</v>
      </c>
    </row>
    <row r="26" ht="13.5" customHeight="1">
      <c r="A26" s="7" t="s">
        <v>81</v>
      </c>
      <c r="B26" s="7" t="s">
        <v>82</v>
      </c>
      <c r="C26" s="9">
        <v>76.3544474896173</v>
      </c>
    </row>
    <row r="27" ht="13.5" customHeight="1">
      <c r="A27" s="7" t="s">
        <v>83</v>
      </c>
      <c r="B27" s="7" t="s">
        <v>84</v>
      </c>
      <c r="C27" s="9">
        <v>97.7011494252874</v>
      </c>
    </row>
    <row r="28" ht="13.5" customHeight="1">
      <c r="A28" s="7" t="s">
        <v>85</v>
      </c>
      <c r="B28" s="7" t="s">
        <v>86</v>
      </c>
      <c r="C28" s="9">
        <v>99.8972596589265</v>
      </c>
    </row>
    <row r="29" ht="13.5" customHeight="1">
      <c r="A29" s="7" t="s">
        <v>87</v>
      </c>
      <c r="B29" s="7" t="s">
        <v>88</v>
      </c>
      <c r="C29" s="9">
        <v>82.4032509903095</v>
      </c>
    </row>
    <row r="30" ht="13.5" customHeight="1">
      <c r="A30" s="7" t="s">
        <v>89</v>
      </c>
      <c r="B30" s="7" t="s">
        <v>90</v>
      </c>
      <c r="C30" s="9">
        <v>93.7014415326071</v>
      </c>
    </row>
    <row r="31" ht="13.5" customHeight="1">
      <c r="A31" s="7" t="s">
        <v>91</v>
      </c>
      <c r="B31" s="7" t="s">
        <v>92</v>
      </c>
      <c r="C31" s="9">
        <v>99.440645819981</v>
      </c>
    </row>
    <row r="32" ht="13.5" customHeight="1">
      <c r="A32" s="7" t="s">
        <v>93</v>
      </c>
      <c r="B32" s="7" t="s">
        <v>94</v>
      </c>
      <c r="C32" s="9">
        <v>99.5328256842466</v>
      </c>
    </row>
    <row r="33" ht="13.5" customHeight="1">
      <c r="A33" s="7" t="s">
        <v>95</v>
      </c>
      <c r="B33" s="7" t="s">
        <v>96</v>
      </c>
      <c r="C33" s="9">
        <v>68.9335917444334</v>
      </c>
    </row>
    <row r="34" ht="13.5" customHeight="1">
      <c r="A34" s="7" t="s">
        <v>97</v>
      </c>
      <c r="B34" s="7" t="s">
        <v>98</v>
      </c>
      <c r="C34" s="9">
        <v>94.930690706974</v>
      </c>
    </row>
    <row r="35" ht="13.5" customHeight="1">
      <c r="A35" s="7" t="s">
        <v>99</v>
      </c>
      <c r="B35" s="7" t="s">
        <v>100</v>
      </c>
      <c r="C35" s="9">
        <v>99.4351060019992</v>
      </c>
    </row>
    <row r="36" ht="13.5" customHeight="1">
      <c r="A36" s="7" t="s">
        <v>101</v>
      </c>
      <c r="B36" s="7" t="s">
        <v>102</v>
      </c>
      <c r="C36" s="9">
        <v>91.132373158891</v>
      </c>
    </row>
    <row r="37" ht="13.5" customHeight="1">
      <c r="A37" s="7" t="s">
        <v>103</v>
      </c>
      <c r="B37" s="7" t="s">
        <v>104</v>
      </c>
      <c r="C37" s="9">
        <v>96.2941840839471</v>
      </c>
    </row>
    <row r="38" ht="13.5" customHeight="1">
      <c r="A38" s="7" t="s">
        <v>105</v>
      </c>
      <c r="B38" s="7" t="s">
        <v>106</v>
      </c>
      <c r="C38" s="9">
        <v>100.0</v>
      </c>
    </row>
    <row r="39" ht="13.5" customHeight="1">
      <c r="A39" s="7" t="s">
        <v>107</v>
      </c>
      <c r="B39" s="7" t="s">
        <v>108</v>
      </c>
      <c r="C39" s="9">
        <v>96.6671662645079</v>
      </c>
    </row>
    <row r="40" ht="13.5" customHeight="1">
      <c r="A40" s="7" t="s">
        <v>109</v>
      </c>
      <c r="B40" s="7" t="s">
        <v>110</v>
      </c>
      <c r="C40" s="9">
        <v>65.4533076428303</v>
      </c>
    </row>
    <row r="41" ht="13.5" customHeight="1">
      <c r="A41" s="7" t="s">
        <v>111</v>
      </c>
      <c r="B41" s="7" t="s">
        <v>112</v>
      </c>
      <c r="C41" s="9">
        <v>81.9309531669555</v>
      </c>
    </row>
    <row r="42" ht="13.5" customHeight="1">
      <c r="A42" s="7" t="s">
        <v>113</v>
      </c>
      <c r="B42" s="7" t="s">
        <v>114</v>
      </c>
      <c r="C42" s="9">
        <v>94.9724999710766</v>
      </c>
    </row>
    <row r="43" ht="13.5" customHeight="1">
      <c r="A43" s="7" t="s">
        <v>115</v>
      </c>
      <c r="B43" s="7" t="s">
        <v>116</v>
      </c>
      <c r="C43" s="9">
        <v>100.0</v>
      </c>
    </row>
    <row r="44" ht="13.5" customHeight="1">
      <c r="A44" s="7" t="s">
        <v>117</v>
      </c>
      <c r="B44" s="7" t="s">
        <v>118</v>
      </c>
      <c r="C44" s="9">
        <v>99.791394055711</v>
      </c>
    </row>
    <row r="45" ht="13.5" customHeight="1">
      <c r="A45" s="7" t="s">
        <v>119</v>
      </c>
      <c r="B45" s="7" t="s">
        <v>120</v>
      </c>
      <c r="C45" s="9">
        <v>84.2394686825049</v>
      </c>
    </row>
    <row r="46" ht="13.5" customHeight="1">
      <c r="A46" s="7" t="s">
        <v>121</v>
      </c>
      <c r="B46" s="7" t="s">
        <v>122</v>
      </c>
      <c r="C46" s="9">
        <v>57.7618162625506</v>
      </c>
    </row>
    <row r="47" ht="13.5" customHeight="1">
      <c r="A47" s="7" t="s">
        <v>123</v>
      </c>
      <c r="B47" s="7" t="s">
        <v>124</v>
      </c>
      <c r="C47" s="9">
        <v>87.8937730069265</v>
      </c>
    </row>
    <row r="48" ht="13.5" customHeight="1">
      <c r="A48" s="7" t="s">
        <v>125</v>
      </c>
      <c r="B48" s="7" t="s">
        <v>126</v>
      </c>
      <c r="C48" s="9">
        <v>99.8097747444248</v>
      </c>
    </row>
    <row r="49" ht="13.5" customHeight="1">
      <c r="A49" s="7" t="s">
        <v>127</v>
      </c>
      <c r="B49" s="7" t="s">
        <v>128</v>
      </c>
      <c r="C49" s="9">
        <v>77.9515289183733</v>
      </c>
    </row>
    <row r="50" ht="13.5" customHeight="1">
      <c r="A50" s="7" t="s">
        <v>129</v>
      </c>
      <c r="B50" s="7" t="s">
        <v>130</v>
      </c>
      <c r="C50" s="9">
        <v>98.3904638049146</v>
      </c>
    </row>
    <row r="51" ht="13.5" customHeight="1">
      <c r="A51" s="7" t="s">
        <v>131</v>
      </c>
      <c r="B51" s="7" t="s">
        <v>132</v>
      </c>
      <c r="C51" s="9">
        <v>76.9522884480749</v>
      </c>
    </row>
    <row r="52" ht="13.5" customHeight="1">
      <c r="A52" s="7" t="s">
        <v>133</v>
      </c>
      <c r="B52" s="7" t="s">
        <v>134</v>
      </c>
      <c r="C52" s="9">
        <v>92.6538271749093</v>
      </c>
    </row>
    <row r="53" ht="13.5" customHeight="1">
      <c r="A53" s="7" t="s">
        <v>135</v>
      </c>
      <c r="B53" s="7" t="s">
        <v>136</v>
      </c>
      <c r="C53" s="9">
        <v>29.177027740302</v>
      </c>
    </row>
    <row r="54" ht="13.5" customHeight="1">
      <c r="A54" s="7" t="s">
        <v>137</v>
      </c>
      <c r="B54" s="7" t="s">
        <v>138</v>
      </c>
      <c r="C54" s="9">
        <v>65.0433388168512</v>
      </c>
    </row>
    <row r="55" ht="13.5" customHeight="1">
      <c r="A55" s="7" t="s">
        <v>139</v>
      </c>
      <c r="B55" s="7" t="s">
        <v>140</v>
      </c>
      <c r="C55" s="9">
        <v>99.3490015297943</v>
      </c>
    </row>
    <row r="56" ht="13.5" customHeight="1">
      <c r="A56" s="7" t="s">
        <v>141</v>
      </c>
      <c r="B56" s="7" t="s">
        <v>142</v>
      </c>
      <c r="C56" s="9">
        <v>88.1306483789083</v>
      </c>
    </row>
    <row r="57" ht="13.5" customHeight="1">
      <c r="A57" s="7" t="s">
        <v>143</v>
      </c>
      <c r="B57" s="7" t="s">
        <v>144</v>
      </c>
      <c r="C57" s="9">
        <v>99.1722983772742</v>
      </c>
    </row>
    <row r="58" ht="13.5" customHeight="1">
      <c r="A58" s="7" t="s">
        <v>145</v>
      </c>
      <c r="B58" s="7" t="s">
        <v>146</v>
      </c>
      <c r="C58" s="9">
        <v>94.7378628242284</v>
      </c>
    </row>
    <row r="59" ht="13.5" customHeight="1">
      <c r="A59" s="7" t="s">
        <v>147</v>
      </c>
      <c r="B59" s="7" t="s">
        <v>148</v>
      </c>
      <c r="C59" s="9">
        <v>76.8653923060912</v>
      </c>
    </row>
    <row r="60" ht="13.5" customHeight="1">
      <c r="A60" s="7" t="s">
        <v>149</v>
      </c>
      <c r="B60" s="7" t="s">
        <v>150</v>
      </c>
      <c r="C60" s="9">
        <v>100.0</v>
      </c>
    </row>
    <row r="61" ht="13.5" customHeight="1">
      <c r="A61" s="7" t="s">
        <v>151</v>
      </c>
      <c r="B61" s="7" t="s">
        <v>152</v>
      </c>
      <c r="C61" s="9">
        <v>87.9881986708415</v>
      </c>
    </row>
    <row r="62" ht="13.5" customHeight="1">
      <c r="A62" s="7" t="s">
        <v>153</v>
      </c>
      <c r="B62" s="7" t="s">
        <v>154</v>
      </c>
      <c r="C62" s="9">
        <v>66.8648105808055</v>
      </c>
    </row>
    <row r="63" ht="13.5" customHeight="1">
      <c r="A63" s="7" t="s">
        <v>155</v>
      </c>
      <c r="B63" s="7" t="s">
        <v>156</v>
      </c>
      <c r="C63" s="9">
        <v>94.8997312047095</v>
      </c>
    </row>
    <row r="64" ht="13.5" customHeight="1">
      <c r="A64" s="7" t="s">
        <v>157</v>
      </c>
      <c r="B64" s="7" t="s">
        <v>158</v>
      </c>
      <c r="C64" s="9">
        <v>96.3794897415389</v>
      </c>
    </row>
    <row r="65" ht="13.5" customHeight="1">
      <c r="A65" s="7" t="s">
        <v>159</v>
      </c>
      <c r="B65" s="7" t="s">
        <v>160</v>
      </c>
      <c r="C65" s="9">
        <v>73.89971235917</v>
      </c>
    </row>
    <row r="66" ht="13.5" customHeight="1">
      <c r="A66" s="7" t="s">
        <v>161</v>
      </c>
      <c r="B66" s="7" t="s">
        <v>162</v>
      </c>
      <c r="C66" s="9">
        <v>81.610134859011</v>
      </c>
    </row>
    <row r="67" ht="13.5" customHeight="1">
      <c r="A67" s="7" t="s">
        <v>163</v>
      </c>
      <c r="B67" s="7" t="s">
        <v>164</v>
      </c>
      <c r="C67" s="9">
        <v>98.487278880388</v>
      </c>
    </row>
    <row r="68" ht="13.5" customHeight="1">
      <c r="A68" s="7" t="s">
        <v>165</v>
      </c>
      <c r="B68" s="7" t="s">
        <v>166</v>
      </c>
      <c r="C68" s="9">
        <v>73.3444450840646</v>
      </c>
    </row>
    <row r="69" ht="13.5" customHeight="1">
      <c r="A69" s="7" t="s">
        <v>167</v>
      </c>
      <c r="B69" s="7" t="s">
        <v>168</v>
      </c>
      <c r="C69" s="9">
        <v>86.9432290152479</v>
      </c>
    </row>
    <row r="70" ht="13.5" customHeight="1">
      <c r="A70" s="7" t="s">
        <v>169</v>
      </c>
      <c r="B70" s="7" t="s">
        <v>170</v>
      </c>
      <c r="C70" s="9">
        <v>92.0566112066264</v>
      </c>
    </row>
    <row r="71" ht="13.5" customHeight="1">
      <c r="A71" s="7" t="s">
        <v>171</v>
      </c>
      <c r="B71" s="7" t="s">
        <v>172</v>
      </c>
      <c r="C71" s="9">
        <v>99.9562314700862</v>
      </c>
    </row>
    <row r="72" ht="13.5" customHeight="1">
      <c r="A72" s="7" t="s">
        <v>173</v>
      </c>
      <c r="B72" s="7" t="s">
        <v>174</v>
      </c>
      <c r="C72" s="9">
        <v>98.9408761395176</v>
      </c>
    </row>
    <row r="73" ht="13.5" customHeight="1">
      <c r="A73" s="7" t="s">
        <v>175</v>
      </c>
      <c r="B73" s="7" t="s">
        <v>176</v>
      </c>
      <c r="C73" s="9">
        <v>99.1229136806166</v>
      </c>
    </row>
    <row r="74" ht="13.5" customHeight="1">
      <c r="A74" s="7" t="s">
        <v>177</v>
      </c>
      <c r="B74" s="7" t="s">
        <v>178</v>
      </c>
      <c r="C74" s="9">
        <v>57.8256630894449</v>
      </c>
    </row>
    <row r="75" ht="13.5" customHeight="1">
      <c r="A75" s="7" t="s">
        <v>179</v>
      </c>
      <c r="B75" s="7" t="s">
        <v>180</v>
      </c>
      <c r="C75" s="9">
        <v>99.2951073337294</v>
      </c>
    </row>
    <row r="76" ht="13.5" customHeight="1">
      <c r="A76" s="7" t="s">
        <v>181</v>
      </c>
      <c r="B76" s="7" t="s">
        <v>182</v>
      </c>
      <c r="C76" s="9">
        <v>100.0</v>
      </c>
    </row>
    <row r="77" ht="13.5" customHeight="1">
      <c r="A77" s="7" t="s">
        <v>183</v>
      </c>
      <c r="B77" s="7" t="s">
        <v>184</v>
      </c>
      <c r="C77" s="9">
        <v>58.6995854495151</v>
      </c>
    </row>
    <row r="78" ht="13.5" customHeight="1">
      <c r="A78" s="7" t="s">
        <v>185</v>
      </c>
      <c r="B78" s="7" t="s">
        <v>186</v>
      </c>
      <c r="C78" s="9">
        <v>99.8077079746234</v>
      </c>
    </row>
    <row r="79" ht="13.5" customHeight="1">
      <c r="A79" s="7" t="s">
        <v>187</v>
      </c>
      <c r="B79" s="7" t="s">
        <v>188</v>
      </c>
      <c r="C79" s="9">
        <v>98.0543372031785</v>
      </c>
    </row>
    <row r="80" ht="13.5" customHeight="1">
      <c r="A80" s="7" t="s">
        <v>189</v>
      </c>
      <c r="B80" s="7" t="s">
        <v>190</v>
      </c>
      <c r="C80" s="9">
        <v>91.308540922124</v>
      </c>
    </row>
    <row r="81" ht="13.5" customHeight="1">
      <c r="A81" s="7" t="s">
        <v>191</v>
      </c>
      <c r="B81" s="7" t="s">
        <v>192</v>
      </c>
      <c r="C81" s="9">
        <v>95.8858249093009</v>
      </c>
    </row>
    <row r="82" ht="13.5" customHeight="1">
      <c r="A82" s="7" t="s">
        <v>193</v>
      </c>
      <c r="B82" s="7" t="s">
        <v>194</v>
      </c>
      <c r="C82" s="9">
        <v>99.2921942774715</v>
      </c>
    </row>
    <row r="83" ht="13.5" customHeight="1">
      <c r="A83" s="7" t="s">
        <v>195</v>
      </c>
      <c r="B83" s="7" t="s">
        <v>196</v>
      </c>
      <c r="C83" s="9">
        <v>96.0315270871972</v>
      </c>
    </row>
    <row r="84" ht="13.5" customHeight="1">
      <c r="A84" s="7" t="s">
        <v>197</v>
      </c>
      <c r="B84" s="7" t="s">
        <v>198</v>
      </c>
      <c r="C84" s="9">
        <v>98.5275010827198</v>
      </c>
    </row>
    <row r="85" ht="13.5" customHeight="1">
      <c r="A85" s="7" t="s">
        <v>199</v>
      </c>
      <c r="B85" s="7" t="s">
        <v>200</v>
      </c>
      <c r="C85" s="9">
        <v>99.4723054342757</v>
      </c>
    </row>
    <row r="86" ht="13.5" customHeight="1">
      <c r="A86" s="7" t="s">
        <v>201</v>
      </c>
      <c r="B86" s="7" t="s">
        <v>202</v>
      </c>
      <c r="C86" s="9">
        <v>84.5359500385644</v>
      </c>
    </row>
    <row r="87" ht="13.5" customHeight="1">
      <c r="A87" s="7" t="s">
        <v>203</v>
      </c>
      <c r="B87" s="7" t="s">
        <v>204</v>
      </c>
      <c r="C87" s="9">
        <v>99.3876337317974</v>
      </c>
    </row>
    <row r="88" ht="13.5" customHeight="1">
      <c r="A88" s="7" t="s">
        <v>205</v>
      </c>
      <c r="B88" s="7" t="s">
        <v>206</v>
      </c>
      <c r="C88" s="9">
        <v>72.8320647999962</v>
      </c>
    </row>
    <row r="89" ht="13.5" customHeight="1">
      <c r="A89" s="7" t="s">
        <v>207</v>
      </c>
      <c r="B89" s="7" t="s">
        <v>208</v>
      </c>
      <c r="C89" s="9">
        <v>99.9032538854057</v>
      </c>
    </row>
    <row r="90" ht="13.5" customHeight="1">
      <c r="A90" s="7" t="s">
        <v>209</v>
      </c>
      <c r="B90" s="7" t="s">
        <v>210</v>
      </c>
      <c r="C90" s="9">
        <v>88.9800041771782</v>
      </c>
    </row>
    <row r="91" ht="13.5" customHeight="1">
      <c r="A91" s="7" t="s">
        <v>211</v>
      </c>
      <c r="B91" s="7" t="s">
        <v>212</v>
      </c>
      <c r="C91" s="9">
        <v>99.5509582527865</v>
      </c>
    </row>
    <row r="92" ht="13.5" customHeight="1">
      <c r="A92" s="7" t="s">
        <v>213</v>
      </c>
      <c r="B92" s="7" t="s">
        <v>214</v>
      </c>
      <c r="C92" s="9">
        <v>99.5455034704632</v>
      </c>
    </row>
    <row r="93" ht="13.5" customHeight="1">
      <c r="A93" s="7" t="s">
        <v>215</v>
      </c>
      <c r="B93" s="7" t="s">
        <v>216</v>
      </c>
      <c r="C93" s="9">
        <v>99.7128223916025</v>
      </c>
    </row>
    <row r="94" ht="13.5" customHeight="1">
      <c r="A94" s="7" t="s">
        <v>217</v>
      </c>
      <c r="B94" s="7" t="s">
        <v>218</v>
      </c>
      <c r="C94" s="9">
        <v>59.2983081134164</v>
      </c>
    </row>
    <row r="95" ht="13.5" customHeight="1">
      <c r="A95" s="7" t="s">
        <v>219</v>
      </c>
      <c r="B95" s="7" t="s">
        <v>220</v>
      </c>
      <c r="C95" s="9">
        <v>89.6476466020941</v>
      </c>
    </row>
    <row r="96" ht="13.5" customHeight="1">
      <c r="A96" s="7" t="s">
        <v>221</v>
      </c>
      <c r="B96" s="7" t="s">
        <v>222</v>
      </c>
      <c r="C96" s="9">
        <v>77.727852525207</v>
      </c>
    </row>
    <row r="97" ht="13.5" customHeight="1">
      <c r="A97" s="7" t="s">
        <v>223</v>
      </c>
      <c r="B97" s="7" t="s">
        <v>224</v>
      </c>
      <c r="C97" s="9">
        <v>90.9579608241507</v>
      </c>
    </row>
    <row r="98" ht="13.5" customHeight="1">
      <c r="A98" s="7" t="s">
        <v>225</v>
      </c>
      <c r="B98" s="7" t="s">
        <v>226</v>
      </c>
      <c r="C98" s="9">
        <v>88.0609109954536</v>
      </c>
    </row>
    <row r="99" ht="13.5" customHeight="1">
      <c r="A99" s="7" t="s">
        <v>227</v>
      </c>
      <c r="B99" s="7" t="s">
        <v>228</v>
      </c>
      <c r="C99" s="9">
        <v>76.0100501455261</v>
      </c>
    </row>
    <row r="100" ht="13.5" customHeight="1">
      <c r="A100" s="7" t="s">
        <v>229</v>
      </c>
      <c r="B100" s="7" t="s">
        <v>230</v>
      </c>
      <c r="C100" s="9">
        <v>95.7820772091085</v>
      </c>
    </row>
    <row r="101" ht="13.5" customHeight="1">
      <c r="A101" s="7" t="s">
        <v>231</v>
      </c>
      <c r="B101" s="7" t="s">
        <v>232</v>
      </c>
      <c r="C101" s="9">
        <v>78.6369297786387</v>
      </c>
    </row>
    <row r="102" ht="13.5" customHeight="1">
      <c r="A102" s="7" t="s">
        <v>233</v>
      </c>
      <c r="B102" s="7" t="s">
        <v>234</v>
      </c>
      <c r="C102" s="9">
        <v>79.4069556581263</v>
      </c>
    </row>
    <row r="103" ht="13.5" customHeight="1">
      <c r="A103" s="7" t="s">
        <v>235</v>
      </c>
      <c r="B103" s="7" t="s">
        <v>236</v>
      </c>
      <c r="C103" s="9">
        <v>93.6351335737034</v>
      </c>
    </row>
    <row r="104" ht="13.5" customHeight="1">
      <c r="A104" s="7" t="s">
        <v>237</v>
      </c>
      <c r="B104" s="7" t="s">
        <v>238</v>
      </c>
      <c r="C104" s="9">
        <v>97.755660401603</v>
      </c>
    </row>
    <row r="105" ht="13.5" customHeight="1">
      <c r="A105" s="7" t="s">
        <v>239</v>
      </c>
      <c r="B105" s="7" t="s">
        <v>240</v>
      </c>
      <c r="C105" s="9">
        <v>100.0</v>
      </c>
    </row>
    <row r="106" ht="13.5" customHeight="1">
      <c r="A106" s="7" t="s">
        <v>241</v>
      </c>
      <c r="B106" s="7" t="s">
        <v>242</v>
      </c>
      <c r="C106" s="9">
        <v>99.8277363454581</v>
      </c>
    </row>
    <row r="107" ht="13.5" customHeight="1">
      <c r="A107" s="7" t="s">
        <v>243</v>
      </c>
      <c r="B107" s="7" t="s">
        <v>244</v>
      </c>
      <c r="C107" s="9">
        <v>91.3632966324326</v>
      </c>
    </row>
    <row r="108" ht="13.5" customHeight="1">
      <c r="A108" s="7" t="s">
        <v>245</v>
      </c>
      <c r="B108" s="7" t="s">
        <v>246</v>
      </c>
      <c r="C108" s="9">
        <v>69.9559330950716</v>
      </c>
    </row>
    <row r="109" ht="13.5" customHeight="1">
      <c r="A109" s="7" t="s">
        <v>247</v>
      </c>
      <c r="B109" s="7" t="s">
        <v>248</v>
      </c>
      <c r="C109" s="9">
        <v>81.4257788802459</v>
      </c>
    </row>
    <row r="110" ht="13.5" customHeight="1">
      <c r="A110" s="7" t="s">
        <v>249</v>
      </c>
      <c r="B110" s="7" t="s">
        <v>250</v>
      </c>
      <c r="C110" s="9">
        <v>98.9957799365611</v>
      </c>
    </row>
    <row r="111" ht="13.5" customHeight="1">
      <c r="A111" s="7" t="s">
        <v>251</v>
      </c>
      <c r="B111" s="7" t="s">
        <v>252</v>
      </c>
      <c r="C111" s="9">
        <v>99.967032368796</v>
      </c>
    </row>
    <row r="112" ht="13.5" customHeight="1">
      <c r="A112" s="7" t="s">
        <v>253</v>
      </c>
      <c r="B112" s="7" t="s">
        <v>254</v>
      </c>
      <c r="C112" s="9">
        <v>28.2308626716045</v>
      </c>
    </row>
    <row r="113" ht="13.5" customHeight="1">
      <c r="A113" s="7" t="s">
        <v>255</v>
      </c>
      <c r="B113" s="7" t="s">
        <v>256</v>
      </c>
      <c r="C113" s="9">
        <v>10.8847233152592</v>
      </c>
    </row>
    <row r="114" ht="13.5" customHeight="1">
      <c r="A114" s="7" t="s">
        <v>257</v>
      </c>
      <c r="B114" s="7" t="s">
        <v>258</v>
      </c>
      <c r="C114" s="9">
        <v>100.0</v>
      </c>
    </row>
    <row r="115" ht="13.5" customHeight="1">
      <c r="A115" s="7" t="s">
        <v>259</v>
      </c>
      <c r="B115" s="7" t="s">
        <v>260</v>
      </c>
      <c r="C115" s="9">
        <v>96.023701157213</v>
      </c>
    </row>
    <row r="116" ht="13.5" customHeight="1">
      <c r="A116" s="7" t="s">
        <v>261</v>
      </c>
      <c r="B116" s="7" t="s">
        <v>262</v>
      </c>
      <c r="C116" s="9">
        <v>99.2554651398696</v>
      </c>
    </row>
    <row r="117" ht="13.5" customHeight="1">
      <c r="A117" s="7" t="s">
        <v>263</v>
      </c>
      <c r="B117" s="7" t="s">
        <v>264</v>
      </c>
      <c r="C117" s="9">
        <v>98.7141396828591</v>
      </c>
    </row>
    <row r="118" ht="13.5" customHeight="1">
      <c r="A118" s="7" t="s">
        <v>265</v>
      </c>
      <c r="B118" s="7" t="s">
        <v>266</v>
      </c>
      <c r="C118" s="9">
        <v>92.3551598061438</v>
      </c>
    </row>
    <row r="119" ht="13.5" customHeight="1">
      <c r="A119" s="7" t="s">
        <v>267</v>
      </c>
      <c r="B119" s="7" t="s">
        <v>268</v>
      </c>
      <c r="C119" s="9">
        <v>97.0928254576017</v>
      </c>
    </row>
    <row r="120" ht="13.5" customHeight="1">
      <c r="A120" s="7" t="s">
        <v>269</v>
      </c>
      <c r="B120" s="7" t="s">
        <v>270</v>
      </c>
      <c r="C120" s="9">
        <v>85.4006858671875</v>
      </c>
    </row>
    <row r="121" ht="13.5" customHeight="1">
      <c r="A121" s="7" t="s">
        <v>271</v>
      </c>
      <c r="B121" s="7" t="s">
        <v>272</v>
      </c>
      <c r="C121" s="9">
        <v>87.3263193851061</v>
      </c>
    </row>
    <row r="122" ht="13.5" customHeight="1">
      <c r="A122" s="7" t="s">
        <v>273</v>
      </c>
      <c r="B122" s="7" t="s">
        <v>274</v>
      </c>
      <c r="C122" s="9">
        <v>94.7358032814699</v>
      </c>
    </row>
    <row r="123" ht="13.5" customHeight="1">
      <c r="A123" s="7" t="s">
        <v>275</v>
      </c>
      <c r="B123" s="7" t="s">
        <v>276</v>
      </c>
      <c r="C123" s="9">
        <v>88.7019123126802</v>
      </c>
    </row>
    <row r="124" ht="13.5" customHeight="1">
      <c r="A124" s="7" t="s">
        <v>277</v>
      </c>
      <c r="B124" s="7" t="s">
        <v>278</v>
      </c>
      <c r="C124" s="9">
        <v>94.9201214960753</v>
      </c>
    </row>
    <row r="125" ht="13.5" customHeight="1">
      <c r="A125" s="7" t="s">
        <v>279</v>
      </c>
      <c r="B125" s="7" t="s">
        <v>280</v>
      </c>
      <c r="C125" s="9">
        <v>91.8064930150922</v>
      </c>
    </row>
    <row r="126" ht="13.5" customHeight="1">
      <c r="A126" s="7" t="s">
        <v>281</v>
      </c>
      <c r="B126" s="7" t="s">
        <v>282</v>
      </c>
      <c r="C126" s="9">
        <v>90.5685215496029</v>
      </c>
    </row>
    <row r="127" ht="13.5" customHeight="1">
      <c r="A127" s="7" t="s">
        <v>283</v>
      </c>
      <c r="B127" s="7" t="s">
        <v>284</v>
      </c>
      <c r="C127" s="9">
        <v>86.2744043288934</v>
      </c>
    </row>
    <row r="128" ht="13.5" customHeight="1">
      <c r="A128" s="7" t="s">
        <v>285</v>
      </c>
      <c r="B128" s="7" t="s">
        <v>286</v>
      </c>
      <c r="C128" s="9">
        <v>77.5506855191892</v>
      </c>
    </row>
    <row r="129" ht="13.5" customHeight="1">
      <c r="A129" s="7" t="s">
        <v>287</v>
      </c>
      <c r="B129" s="7" t="s">
        <v>288</v>
      </c>
      <c r="C129" s="9">
        <v>99.5850455918182</v>
      </c>
    </row>
    <row r="130" ht="13.5" customHeight="1">
      <c r="A130" s="7" t="s">
        <v>289</v>
      </c>
      <c r="B130" s="7" t="s">
        <v>290</v>
      </c>
      <c r="C130" s="9">
        <v>63.5162402410128</v>
      </c>
    </row>
    <row r="131" ht="13.5" customHeight="1">
      <c r="A131" s="7" t="s">
        <v>291</v>
      </c>
      <c r="B131" s="7" t="s">
        <v>292</v>
      </c>
      <c r="C131" s="9">
        <v>86.587063357164</v>
      </c>
    </row>
    <row r="132" ht="13.5" customHeight="1">
      <c r="A132" s="7" t="s">
        <v>293</v>
      </c>
      <c r="B132" s="7" t="s">
        <v>294</v>
      </c>
      <c r="C132" s="9">
        <v>98.8810483522257</v>
      </c>
    </row>
    <row r="133" ht="13.5" customHeight="1">
      <c r="A133" s="7" t="s">
        <v>295</v>
      </c>
      <c r="B133" s="7" t="s">
        <v>296</v>
      </c>
      <c r="C133" s="9">
        <v>54.6454188408308</v>
      </c>
    </row>
    <row r="134" ht="13.5" customHeight="1">
      <c r="A134" s="7" t="s">
        <v>297</v>
      </c>
      <c r="B134" s="7" t="s">
        <v>298</v>
      </c>
      <c r="C134" s="9">
        <v>90.3555830836781</v>
      </c>
    </row>
    <row r="135" ht="13.5" customHeight="1">
      <c r="A135" s="7" t="s">
        <v>299</v>
      </c>
      <c r="B135" s="7" t="s">
        <v>300</v>
      </c>
      <c r="C135" s="9">
        <v>89.3786933300841</v>
      </c>
    </row>
    <row r="136" ht="13.5" customHeight="1">
      <c r="A136" s="7" t="s">
        <v>301</v>
      </c>
      <c r="B136" s="7" t="s">
        <v>302</v>
      </c>
      <c r="C136" s="9">
        <v>86.9121915875451</v>
      </c>
    </row>
    <row r="137" ht="13.5" customHeight="1">
      <c r="A137" s="7" t="s">
        <v>303</v>
      </c>
      <c r="B137" s="7" t="s">
        <v>304</v>
      </c>
      <c r="C137" s="9">
        <v>97.116678392698</v>
      </c>
    </row>
    <row r="138" ht="13.5" customHeight="1">
      <c r="A138" s="7" t="s">
        <v>305</v>
      </c>
      <c r="B138" s="7" t="s">
        <v>306</v>
      </c>
      <c r="C138" s="9">
        <v>99.6628847712982</v>
      </c>
    </row>
    <row r="139" ht="13.5" customHeight="1">
      <c r="A139" s="7" t="s">
        <v>307</v>
      </c>
      <c r="B139" s="7" t="s">
        <v>308</v>
      </c>
      <c r="C139" s="9">
        <v>100.0</v>
      </c>
    </row>
    <row r="140" ht="13.5" customHeight="1">
      <c r="A140" s="7" t="s">
        <v>309</v>
      </c>
      <c r="B140" s="7" t="s">
        <v>310</v>
      </c>
      <c r="C140" s="9">
        <v>99.3713868362812</v>
      </c>
    </row>
    <row r="141" ht="13.5" customHeight="1">
      <c r="A141" s="7" t="s">
        <v>311</v>
      </c>
      <c r="B141" s="7" t="s">
        <v>312</v>
      </c>
      <c r="C141" s="9">
        <v>84.9503755702897</v>
      </c>
    </row>
    <row r="142" ht="13.5" customHeight="1">
      <c r="A142" s="7" t="s">
        <v>313</v>
      </c>
      <c r="B142" s="7" t="s">
        <v>314</v>
      </c>
      <c r="C142" s="9">
        <v>90.3614102051999</v>
      </c>
    </row>
    <row r="143" ht="13.5" customHeight="1">
      <c r="A143" s="7" t="s">
        <v>315</v>
      </c>
      <c r="B143" s="7" t="s">
        <v>316</v>
      </c>
      <c r="C143" s="9">
        <v>95.5802556285862</v>
      </c>
    </row>
    <row r="144" ht="13.5" customHeight="1">
      <c r="A144" s="7" t="s">
        <v>317</v>
      </c>
      <c r="B144" s="7" t="s">
        <v>318</v>
      </c>
      <c r="C144" s="9">
        <v>94.5331125569209</v>
      </c>
    </row>
    <row r="145" ht="13.5" customHeight="1">
      <c r="A145" s="7" t="s">
        <v>319</v>
      </c>
      <c r="B145" s="7" t="s">
        <v>320</v>
      </c>
      <c r="C145" s="9">
        <v>60.6834587814991</v>
      </c>
    </row>
    <row r="146" ht="13.5" customHeight="1">
      <c r="A146" s="7" t="s">
        <v>321</v>
      </c>
      <c r="B146" s="7" t="s">
        <v>322</v>
      </c>
      <c r="C146" s="9">
        <v>85.4488189400868</v>
      </c>
    </row>
    <row r="147" ht="13.5" customHeight="1">
      <c r="A147" s="7" t="s">
        <v>323</v>
      </c>
      <c r="B147" s="7" t="s">
        <v>324</v>
      </c>
      <c r="C147" s="9">
        <v>99.8552538132062</v>
      </c>
    </row>
    <row r="148" ht="13.5" customHeight="1">
      <c r="A148" s="7" t="s">
        <v>325</v>
      </c>
      <c r="B148" s="7" t="s">
        <v>326</v>
      </c>
      <c r="C148" s="9">
        <v>99.9978578678408</v>
      </c>
    </row>
    <row r="149" ht="13.5" customHeight="1">
      <c r="A149" s="7" t="s">
        <v>327</v>
      </c>
      <c r="B149" s="7" t="s">
        <v>328</v>
      </c>
      <c r="C149" s="9">
        <v>94.8628753906026</v>
      </c>
    </row>
    <row r="150" ht="13.5" customHeight="1">
      <c r="A150" s="7" t="s">
        <v>329</v>
      </c>
      <c r="B150" s="7" t="s">
        <v>330</v>
      </c>
      <c r="C150" s="9">
        <v>97.1181002417162</v>
      </c>
    </row>
    <row r="151" ht="13.5" customHeight="1">
      <c r="A151" s="7" t="s">
        <v>331</v>
      </c>
      <c r="B151" s="7" t="s">
        <v>332</v>
      </c>
      <c r="C151" s="9">
        <v>76.0274080563405</v>
      </c>
    </row>
    <row r="152" ht="13.5" customHeight="1">
      <c r="A152" s="7" t="s">
        <v>333</v>
      </c>
      <c r="B152" s="7" t="s">
        <v>334</v>
      </c>
      <c r="C152" s="9">
        <v>53.5722219767528</v>
      </c>
    </row>
    <row r="153" ht="13.5" customHeight="1">
      <c r="A153" s="7" t="s">
        <v>335</v>
      </c>
      <c r="B153" s="7" t="s">
        <v>336</v>
      </c>
      <c r="C153" s="9">
        <v>94.295141589463</v>
      </c>
    </row>
    <row r="154" ht="13.5" customHeight="1">
      <c r="A154" s="7" t="s">
        <v>337</v>
      </c>
      <c r="B154" s="7" t="s">
        <v>338</v>
      </c>
      <c r="C154" s="9">
        <v>96.2129189571915</v>
      </c>
    </row>
    <row r="155" ht="13.5" customHeight="1">
      <c r="A155" s="7" t="s">
        <v>339</v>
      </c>
      <c r="B155" s="7" t="s">
        <v>340</v>
      </c>
      <c r="C155" s="9">
        <v>77.9034813220547</v>
      </c>
    </row>
    <row r="156" ht="13.5" customHeight="1">
      <c r="A156" s="7" t="s">
        <v>341</v>
      </c>
      <c r="B156" s="7" t="s">
        <v>342</v>
      </c>
      <c r="C156" s="9">
        <v>99.0117714751137</v>
      </c>
    </row>
    <row r="157" ht="13.5" customHeight="1">
      <c r="A157" s="7" t="s">
        <v>343</v>
      </c>
      <c r="B157" s="7" t="s">
        <v>344</v>
      </c>
      <c r="C157" s="9">
        <v>96.3761647708198</v>
      </c>
    </row>
    <row r="158" ht="13.5" customHeight="1">
      <c r="A158" s="7" t="s">
        <v>345</v>
      </c>
      <c r="B158" s="7" t="s">
        <v>346</v>
      </c>
      <c r="C158" s="9">
        <v>100.0</v>
      </c>
    </row>
    <row r="159" ht="13.5" customHeight="1">
      <c r="A159" s="7" t="s">
        <v>347</v>
      </c>
      <c r="B159" s="7" t="s">
        <v>348</v>
      </c>
      <c r="C159" s="9">
        <v>94.7445503737997</v>
      </c>
    </row>
    <row r="160" ht="13.5" customHeight="1">
      <c r="A160" s="7" t="s">
        <v>349</v>
      </c>
      <c r="B160" s="7" t="s">
        <v>350</v>
      </c>
      <c r="C160" s="9">
        <v>97.7138719701287</v>
      </c>
    </row>
    <row r="161" ht="13.5" customHeight="1">
      <c r="A161" s="7" t="s">
        <v>351</v>
      </c>
      <c r="B161" s="7" t="s">
        <v>352</v>
      </c>
      <c r="C161" s="9">
        <v>100.0</v>
      </c>
    </row>
    <row r="162" ht="13.5" customHeight="1">
      <c r="A162" s="7" t="s">
        <v>353</v>
      </c>
      <c r="B162" s="7" t="s">
        <v>354</v>
      </c>
      <c r="C162" s="9">
        <v>98.4719273683925</v>
      </c>
    </row>
    <row r="163" ht="13.5" customHeight="1">
      <c r="A163" s="7" t="s">
        <v>355</v>
      </c>
      <c r="B163" s="7" t="s">
        <v>356</v>
      </c>
      <c r="C163" s="9">
        <v>83.0751383673351</v>
      </c>
    </row>
    <row r="164" ht="13.5" customHeight="1">
      <c r="A164" s="7" t="s">
        <v>357</v>
      </c>
      <c r="B164" s="7" t="s">
        <v>358</v>
      </c>
      <c r="C164" s="9">
        <v>100.0</v>
      </c>
    </row>
    <row r="165" ht="13.5" customHeight="1">
      <c r="A165" s="7" t="s">
        <v>359</v>
      </c>
      <c r="B165" s="7" t="s">
        <v>360</v>
      </c>
      <c r="C165" s="9">
        <v>99.294188713232</v>
      </c>
    </row>
    <row r="166" ht="13.5" customHeight="1">
      <c r="A166" s="7" t="s">
        <v>361</v>
      </c>
      <c r="B166" s="7" t="s">
        <v>362</v>
      </c>
      <c r="C166" s="9">
        <v>85.6915939532364</v>
      </c>
    </row>
    <row r="167" ht="13.5" customHeight="1">
      <c r="A167" s="7" t="s">
        <v>363</v>
      </c>
      <c r="B167" s="7" t="s">
        <v>364</v>
      </c>
      <c r="C167" s="9">
        <v>96.0172966284498</v>
      </c>
    </row>
    <row r="168" ht="13.5" customHeight="1">
      <c r="A168" s="7" t="s">
        <v>365</v>
      </c>
      <c r="B168" s="7" t="s">
        <v>366</v>
      </c>
      <c r="C168" s="9">
        <v>84.6120500602713</v>
      </c>
    </row>
    <row r="169" ht="13.5" customHeight="1">
      <c r="A169" s="7" t="s">
        <v>367</v>
      </c>
      <c r="B169" s="7" t="s">
        <v>368</v>
      </c>
      <c r="C169" s="9">
        <v>88.9211343113969</v>
      </c>
    </row>
    <row r="170" ht="13.5" customHeight="1">
      <c r="A170" s="7" t="s">
        <v>369</v>
      </c>
      <c r="B170" s="7" t="s">
        <v>370</v>
      </c>
      <c r="C170" s="9">
        <v>97.7569891908688</v>
      </c>
    </row>
    <row r="171" ht="13.5" customHeight="1">
      <c r="A171" s="7" t="s">
        <v>371</v>
      </c>
      <c r="B171" s="7" t="s">
        <v>372</v>
      </c>
      <c r="C171" s="9">
        <v>97.5531845870338</v>
      </c>
    </row>
    <row r="172" ht="13.5" customHeight="1">
      <c r="A172" s="7" t="s">
        <v>373</v>
      </c>
      <c r="B172" s="7" t="s">
        <v>374</v>
      </c>
      <c r="C172" s="9">
        <v>89.0683431649471</v>
      </c>
    </row>
    <row r="173" ht="13.5" customHeight="1">
      <c r="A173" s="7" t="s">
        <v>375</v>
      </c>
      <c r="B173" s="7" t="s">
        <v>376</v>
      </c>
      <c r="C173" s="9">
        <v>93.8812887912456</v>
      </c>
    </row>
    <row r="174" ht="13.5" customHeight="1">
      <c r="A174" s="7" t="s">
        <v>377</v>
      </c>
      <c r="B174" s="7" t="s">
        <v>378</v>
      </c>
      <c r="C174" s="9">
        <v>80.6686768984602</v>
      </c>
    </row>
    <row r="175" ht="13.5" customHeight="1">
      <c r="A175" s="7" t="s">
        <v>379</v>
      </c>
      <c r="B175" s="7" t="s">
        <v>380</v>
      </c>
      <c r="C175" s="9">
        <v>88.1852266013056</v>
      </c>
    </row>
    <row r="176" ht="13.5" customHeight="1">
      <c r="A176" s="7" t="s">
        <v>381</v>
      </c>
      <c r="B176" s="7" t="s">
        <v>382</v>
      </c>
      <c r="C176" s="9">
        <v>93.5188107188906</v>
      </c>
    </row>
    <row r="177" ht="13.5" customHeight="1">
      <c r="A177" s="7" t="s">
        <v>383</v>
      </c>
      <c r="B177" s="7" t="s">
        <v>384</v>
      </c>
      <c r="C177" s="9">
        <v>98.5471893825559</v>
      </c>
    </row>
    <row r="178" ht="13.5" customHeight="1">
      <c r="A178" s="7" t="s">
        <v>385</v>
      </c>
      <c r="B178" s="7" t="s">
        <v>386</v>
      </c>
      <c r="C178" s="9">
        <v>56.3740308151645</v>
      </c>
    </row>
    <row r="179" ht="13.5" customHeight="1">
      <c r="A179" s="7" t="s">
        <v>387</v>
      </c>
      <c r="B179" s="7" t="s">
        <v>388</v>
      </c>
      <c r="C179" s="9">
        <v>87.9407507205175</v>
      </c>
    </row>
    <row r="180" ht="13.5" customHeight="1">
      <c r="A180" s="7" t="s">
        <v>389</v>
      </c>
      <c r="B180" s="7" t="s">
        <v>390</v>
      </c>
      <c r="C180" s="9">
        <v>98.9186553097871</v>
      </c>
    </row>
    <row r="181" ht="13.5" customHeight="1">
      <c r="A181" s="7" t="s">
        <v>391</v>
      </c>
      <c r="B181" s="7" t="s">
        <v>392</v>
      </c>
      <c r="C181" s="9">
        <v>99.2148703582655</v>
      </c>
    </row>
    <row r="182" ht="13.5" customHeight="1">
      <c r="A182" s="7" t="s">
        <v>393</v>
      </c>
      <c r="B182" s="7" t="s">
        <v>394</v>
      </c>
      <c r="C182" s="9">
        <v>74.0735603578734</v>
      </c>
    </row>
    <row r="183" ht="13.5" customHeight="1">
      <c r="A183" s="7" t="s">
        <v>395</v>
      </c>
      <c r="B183" s="7" t="s">
        <v>396</v>
      </c>
      <c r="C183" s="9">
        <v>92.299788557963</v>
      </c>
    </row>
    <row r="184" ht="13.5" customHeight="1">
      <c r="A184" s="7" t="s">
        <v>397</v>
      </c>
      <c r="B184" s="7" t="s">
        <v>398</v>
      </c>
      <c r="C184" s="9">
        <v>99.5861791884291</v>
      </c>
    </row>
    <row r="185" ht="13.5" customHeight="1">
      <c r="A185" s="7" t="s">
        <v>399</v>
      </c>
      <c r="B185" s="7" t="s">
        <v>400</v>
      </c>
      <c r="C185" s="9">
        <v>90.9606082801837</v>
      </c>
    </row>
    <row r="186" ht="13.5" customHeight="1">
      <c r="A186" s="7" t="s">
        <v>401</v>
      </c>
      <c r="B186" s="7" t="s">
        <v>402</v>
      </c>
      <c r="C186" s="9">
        <v>99.994862597276</v>
      </c>
    </row>
    <row r="187" ht="13.5" customHeight="1">
      <c r="A187" s="7" t="s">
        <v>403</v>
      </c>
      <c r="B187" s="7" t="s">
        <v>404</v>
      </c>
      <c r="C187" s="9">
        <v>99.5552384149844</v>
      </c>
    </row>
    <row r="188" ht="13.5" customHeight="1">
      <c r="A188" s="7" t="s">
        <v>405</v>
      </c>
      <c r="B188" s="7" t="s">
        <v>406</v>
      </c>
      <c r="C188" s="9">
        <v>95.2360001232858</v>
      </c>
    </row>
    <row r="189" ht="13.5" customHeight="1">
      <c r="A189" s="7" t="s">
        <v>407</v>
      </c>
      <c r="B189" s="7" t="s">
        <v>408</v>
      </c>
      <c r="C189" s="9">
        <v>99.0425982812102</v>
      </c>
    </row>
    <row r="190" ht="13.5" customHeight="1">
      <c r="A190" s="7" t="s">
        <v>409</v>
      </c>
      <c r="B190" s="7" t="s">
        <v>410</v>
      </c>
      <c r="C190" s="9">
        <v>99.7768594228685</v>
      </c>
    </row>
    <row r="191" ht="13.5" customHeight="1">
      <c r="A191" s="7" t="s">
        <v>411</v>
      </c>
      <c r="B191" s="7" t="s">
        <v>412</v>
      </c>
      <c r="C191" s="9">
        <v>82.3159150832008</v>
      </c>
    </row>
    <row r="192" ht="13.5" customHeight="1">
      <c r="A192" s="7" t="s">
        <v>413</v>
      </c>
      <c r="B192" s="7" t="s">
        <v>414</v>
      </c>
      <c r="C192" s="9">
        <v>87.8569110983351</v>
      </c>
    </row>
    <row r="193" ht="13.5" customHeight="1">
      <c r="A193" s="7" t="s">
        <v>415</v>
      </c>
      <c r="B193" s="7" t="s">
        <v>416</v>
      </c>
      <c r="C193" s="9">
        <v>99.9282869571369</v>
      </c>
    </row>
    <row r="194" ht="13.5" customHeight="1">
      <c r="A194" s="7" t="s">
        <v>417</v>
      </c>
      <c r="B194" s="7" t="s">
        <v>418</v>
      </c>
      <c r="C194" s="9">
        <v>95.6601064959787</v>
      </c>
    </row>
    <row r="195" ht="13.5" customHeight="1">
      <c r="A195" s="7" t="s">
        <v>419</v>
      </c>
      <c r="B195" s="7" t="s">
        <v>420</v>
      </c>
      <c r="C195" s="9">
        <v>80.0631864380643</v>
      </c>
    </row>
    <row r="196" ht="13.5" customHeight="1">
      <c r="A196" s="7" t="s">
        <v>421</v>
      </c>
      <c r="B196" s="7" t="s">
        <v>422</v>
      </c>
      <c r="C196" s="9">
        <v>100.0</v>
      </c>
    </row>
    <row r="197" ht="13.5" customHeight="1">
      <c r="A197" s="7" t="s">
        <v>423</v>
      </c>
      <c r="B197" s="7" t="s">
        <v>424</v>
      </c>
      <c r="C197" s="9">
        <v>97.8536881192424</v>
      </c>
    </row>
    <row r="198" ht="13.5" customHeight="1">
      <c r="A198" s="7" t="s">
        <v>425</v>
      </c>
      <c r="B198" s="7" t="s">
        <v>426</v>
      </c>
      <c r="C198" s="9">
        <v>97.3451327433628</v>
      </c>
    </row>
    <row r="199" ht="13.5" customHeight="1">
      <c r="A199" s="7" t="s">
        <v>427</v>
      </c>
      <c r="B199" s="7" t="s">
        <v>428</v>
      </c>
      <c r="C199" s="9">
        <v>97.1135760216955</v>
      </c>
    </row>
    <row r="200" ht="13.5" customHeight="1">
      <c r="A200" s="7" t="s">
        <v>429</v>
      </c>
      <c r="B200" s="7" t="s">
        <v>430</v>
      </c>
      <c r="C200" s="9">
        <v>94.1014044863972</v>
      </c>
    </row>
    <row r="201" ht="13.5" customHeight="1">
      <c r="A201" s="7" t="s">
        <v>431</v>
      </c>
      <c r="B201" s="7" t="s">
        <v>432</v>
      </c>
      <c r="C201" s="9">
        <v>94.6017038215654</v>
      </c>
    </row>
    <row r="202" ht="13.5" customHeight="1">
      <c r="A202" s="7" t="s">
        <v>433</v>
      </c>
      <c r="B202" s="7" t="s">
        <v>434</v>
      </c>
      <c r="C202" s="9">
        <v>63.556654676086</v>
      </c>
    </row>
    <row r="203" ht="13.5" customHeight="1">
      <c r="A203" s="7" t="s">
        <v>435</v>
      </c>
      <c r="B203" s="7" t="s">
        <v>436</v>
      </c>
      <c r="C203" s="9">
        <v>82.796873919589</v>
      </c>
    </row>
    <row r="204" ht="13.5" customHeight="1">
      <c r="A204" s="7" t="s">
        <v>437</v>
      </c>
      <c r="B204" s="7" t="s">
        <v>438</v>
      </c>
      <c r="C204" s="9">
        <v>57.2251823544163</v>
      </c>
    </row>
    <row r="205" ht="13.5" customHeight="1">
      <c r="A205" s="7" t="s">
        <v>439</v>
      </c>
      <c r="B205" s="7" t="s">
        <v>440</v>
      </c>
      <c r="C205" s="9">
        <v>99.3182096860859</v>
      </c>
    </row>
    <row r="206" ht="13.5" customHeight="1">
      <c r="A206" s="7" t="s">
        <v>441</v>
      </c>
      <c r="B206" s="7" t="s">
        <v>442</v>
      </c>
      <c r="C206" s="9">
        <v>86.2551742396575</v>
      </c>
    </row>
    <row r="207" ht="13.5" customHeight="1">
      <c r="A207" s="7" t="s">
        <v>443</v>
      </c>
      <c r="B207" s="7" t="s">
        <v>444</v>
      </c>
      <c r="C207" s="9">
        <v>99.9630921762173</v>
      </c>
    </row>
    <row r="208" ht="13.5" customHeight="1">
      <c r="A208" s="7" t="s">
        <v>445</v>
      </c>
      <c r="B208" s="7" t="s">
        <v>446</v>
      </c>
      <c r="C208" s="9">
        <v>85.4383796187661</v>
      </c>
    </row>
    <row r="209" ht="13.5" customHeight="1">
      <c r="A209" s="7" t="s">
        <v>447</v>
      </c>
      <c r="B209" s="7" t="s">
        <v>448</v>
      </c>
      <c r="C209" s="9">
        <v>88.716098062297</v>
      </c>
    </row>
    <row r="210" ht="13.5" customHeight="1">
      <c r="A210" s="7" t="s">
        <v>449</v>
      </c>
      <c r="B210" s="7" t="s">
        <v>450</v>
      </c>
      <c r="C210" s="9">
        <v>99.1496491349122</v>
      </c>
    </row>
    <row r="211" ht="13.5" customHeight="1">
      <c r="A211" s="7" t="s">
        <v>451</v>
      </c>
      <c r="B211" s="7" t="s">
        <v>452</v>
      </c>
      <c r="C211" s="9">
        <v>99.6486306405956</v>
      </c>
    </row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30.0"/>
    <col customWidth="1" min="3" max="3" width="18.0"/>
    <col customWidth="1" min="4" max="26" width="8.86"/>
  </cols>
  <sheetData>
    <row r="1" ht="15.75" customHeight="1">
      <c r="A1" s="6" t="s">
        <v>30</v>
      </c>
      <c r="B1" s="6" t="s">
        <v>31</v>
      </c>
      <c r="C1" s="6" t="s">
        <v>453</v>
      </c>
    </row>
    <row r="2" ht="13.5" customHeight="1">
      <c r="A2" s="7" t="s">
        <v>33</v>
      </c>
      <c r="B2" s="7" t="s">
        <v>34</v>
      </c>
      <c r="C2" s="9">
        <v>43.4500072</v>
      </c>
    </row>
    <row r="3" ht="13.5" customHeight="1">
      <c r="A3" s="7" t="s">
        <v>35</v>
      </c>
      <c r="B3" s="7" t="s">
        <v>36</v>
      </c>
      <c r="C3" s="9">
        <v>70.49559377</v>
      </c>
    </row>
    <row r="4" ht="13.5" customHeight="1">
      <c r="A4" s="7" t="s">
        <v>37</v>
      </c>
      <c r="B4" s="7" t="s">
        <v>38</v>
      </c>
      <c r="C4" s="9">
        <v>53.45418502</v>
      </c>
    </row>
    <row r="5" ht="13.5" customHeight="1">
      <c r="A5" s="7" t="s">
        <v>39</v>
      </c>
      <c r="B5" s="7" t="s">
        <v>40</v>
      </c>
      <c r="C5" s="9">
        <v>0.0</v>
      </c>
    </row>
    <row r="6" ht="13.5" customHeight="1">
      <c r="A6" s="7" t="s">
        <v>41</v>
      </c>
      <c r="B6" s="7" t="s">
        <v>42</v>
      </c>
      <c r="C6" s="9">
        <v>50.18949343</v>
      </c>
    </row>
    <row r="7" ht="13.5" customHeight="1">
      <c r="A7" s="7" t="s">
        <v>43</v>
      </c>
      <c r="B7" s="7" t="s">
        <v>44</v>
      </c>
      <c r="C7" s="9">
        <v>0.0</v>
      </c>
    </row>
    <row r="8" ht="13.5" customHeight="1">
      <c r="A8" s="7" t="s">
        <v>45</v>
      </c>
      <c r="B8" s="7" t="s">
        <v>46</v>
      </c>
      <c r="C8" s="9">
        <v>74.30902191</v>
      </c>
    </row>
    <row r="9" ht="13.5" customHeight="1">
      <c r="A9" s="7" t="s">
        <v>47</v>
      </c>
      <c r="B9" s="7" t="s">
        <v>48</v>
      </c>
      <c r="C9" s="9">
        <v>73.52958976</v>
      </c>
    </row>
    <row r="10" ht="13.5" customHeight="1">
      <c r="A10" s="7" t="s">
        <v>49</v>
      </c>
      <c r="B10" s="7" t="s">
        <v>50</v>
      </c>
      <c r="C10" s="9">
        <v>8.125138429</v>
      </c>
    </row>
    <row r="11" ht="13.5" customHeight="1">
      <c r="A11" s="7" t="s">
        <v>51</v>
      </c>
      <c r="B11" s="7" t="s">
        <v>52</v>
      </c>
      <c r="C11" s="9">
        <v>86.30510293</v>
      </c>
    </row>
    <row r="12" ht="13.5" customHeight="1">
      <c r="A12" s="7" t="s">
        <v>53</v>
      </c>
      <c r="B12" s="7" t="s">
        <v>54</v>
      </c>
      <c r="C12" s="9">
        <v>82.96914701</v>
      </c>
    </row>
    <row r="13" ht="13.5" customHeight="1">
      <c r="A13" s="7" t="s">
        <v>55</v>
      </c>
      <c r="B13" s="7" t="s">
        <v>56</v>
      </c>
      <c r="C13" s="9">
        <v>58.37983323</v>
      </c>
    </row>
    <row r="14" ht="13.5" customHeight="1">
      <c r="A14" s="7" t="s">
        <v>57</v>
      </c>
      <c r="B14" s="7" t="s">
        <v>58</v>
      </c>
      <c r="C14" s="9">
        <v>35.26765216</v>
      </c>
    </row>
    <row r="15" ht="13.5" customHeight="1">
      <c r="A15" s="7" t="s">
        <v>59</v>
      </c>
      <c r="B15" s="7" t="s">
        <v>60</v>
      </c>
      <c r="C15" s="9">
        <v>77.69104941</v>
      </c>
    </row>
    <row r="16" ht="13.5" customHeight="1">
      <c r="A16" s="7" t="s">
        <v>61</v>
      </c>
      <c r="B16" s="7" t="s">
        <v>62</v>
      </c>
      <c r="C16" s="9">
        <v>8.298654213</v>
      </c>
    </row>
    <row r="17" ht="13.5" customHeight="1">
      <c r="A17" s="7" t="s">
        <v>63</v>
      </c>
      <c r="B17" s="7" t="s">
        <v>64</v>
      </c>
      <c r="C17" s="9">
        <v>73.79324037</v>
      </c>
    </row>
    <row r="18" ht="13.5" customHeight="1">
      <c r="A18" s="7" t="s">
        <v>65</v>
      </c>
      <c r="B18" s="7" t="s">
        <v>66</v>
      </c>
      <c r="C18" s="9">
        <v>79.3187482</v>
      </c>
    </row>
    <row r="19" ht="13.5" customHeight="1">
      <c r="A19" s="7" t="s">
        <v>67</v>
      </c>
      <c r="B19" s="7" t="s">
        <v>68</v>
      </c>
      <c r="C19" s="9">
        <v>46.54717042</v>
      </c>
    </row>
    <row r="20" ht="13.5" customHeight="1">
      <c r="A20" s="7" t="s">
        <v>69</v>
      </c>
      <c r="B20" s="7" t="s">
        <v>70</v>
      </c>
      <c r="C20" s="9">
        <v>30.44144211</v>
      </c>
    </row>
    <row r="21" ht="13.5" customHeight="1">
      <c r="A21" s="7" t="s">
        <v>71</v>
      </c>
      <c r="B21" s="7" t="s">
        <v>72</v>
      </c>
      <c r="C21" s="9">
        <v>0.0</v>
      </c>
    </row>
    <row r="22" ht="13.5" customHeight="1">
      <c r="A22" s="7" t="s">
        <v>73</v>
      </c>
      <c r="B22" s="7" t="s">
        <v>74</v>
      </c>
      <c r="C22" s="9">
        <v>51.22766823</v>
      </c>
    </row>
    <row r="23" ht="13.5" customHeight="1">
      <c r="A23" s="7" t="s">
        <v>75</v>
      </c>
      <c r="B23" s="7" t="s">
        <v>76</v>
      </c>
      <c r="C23" s="9">
        <v>67.47594857</v>
      </c>
    </row>
    <row r="24" ht="13.5" customHeight="1">
      <c r="A24" s="7" t="s">
        <v>77</v>
      </c>
      <c r="B24" s="7" t="s">
        <v>78</v>
      </c>
      <c r="C24" s="9">
        <v>58.29340859</v>
      </c>
    </row>
    <row r="25" ht="13.5" customHeight="1">
      <c r="A25" s="7" t="s">
        <v>79</v>
      </c>
      <c r="B25" s="7" t="s">
        <v>80</v>
      </c>
      <c r="C25" s="9">
        <v>67.35262165</v>
      </c>
    </row>
    <row r="26" ht="13.5" customHeight="1">
      <c r="A26" s="7" t="s">
        <v>81</v>
      </c>
      <c r="B26" s="7" t="s">
        <v>82</v>
      </c>
      <c r="C26" s="9">
        <v>72.18048888</v>
      </c>
    </row>
    <row r="27" ht="13.5" customHeight="1">
      <c r="A27" s="7" t="s">
        <v>83</v>
      </c>
      <c r="B27" s="7" t="s">
        <v>84</v>
      </c>
      <c r="C27" s="9">
        <v>0.0</v>
      </c>
    </row>
    <row r="28" ht="13.5" customHeight="1">
      <c r="A28" s="7" t="s">
        <v>85</v>
      </c>
      <c r="B28" s="7" t="s">
        <v>86</v>
      </c>
      <c r="C28" s="9">
        <v>50.8178892</v>
      </c>
    </row>
    <row r="29" ht="13.5" customHeight="1">
      <c r="A29" s="7" t="s">
        <v>87</v>
      </c>
      <c r="B29" s="7" t="s">
        <v>88</v>
      </c>
      <c r="C29" s="9">
        <v>94.79265398</v>
      </c>
    </row>
    <row r="30" ht="13.5" customHeight="1">
      <c r="A30" s="7" t="s">
        <v>89</v>
      </c>
      <c r="B30" s="7" t="s">
        <v>90</v>
      </c>
      <c r="C30" s="9">
        <v>17.73241256</v>
      </c>
    </row>
    <row r="31" ht="13.5" customHeight="1">
      <c r="A31" s="7" t="s">
        <v>91</v>
      </c>
      <c r="B31" s="7" t="s">
        <v>92</v>
      </c>
      <c r="C31" s="9">
        <v>75.38436892</v>
      </c>
    </row>
    <row r="32" ht="13.5" customHeight="1">
      <c r="A32" s="7" t="s">
        <v>93</v>
      </c>
      <c r="B32" s="7" t="s">
        <v>94</v>
      </c>
      <c r="C32" s="9">
        <v>26.83863844</v>
      </c>
    </row>
    <row r="33" ht="13.5" customHeight="1">
      <c r="A33" s="7" t="s">
        <v>95</v>
      </c>
      <c r="B33" s="7" t="s">
        <v>96</v>
      </c>
      <c r="C33" s="9">
        <v>12.34912036</v>
      </c>
    </row>
    <row r="34" ht="13.5" customHeight="1">
      <c r="A34" s="7" t="s">
        <v>97</v>
      </c>
      <c r="B34" s="7" t="s">
        <v>98</v>
      </c>
      <c r="C34" s="9">
        <v>74.89192553</v>
      </c>
    </row>
    <row r="35" ht="13.5" customHeight="1">
      <c r="A35" s="7" t="s">
        <v>99</v>
      </c>
      <c r="B35" s="7" t="s">
        <v>100</v>
      </c>
      <c r="C35" s="9">
        <v>64.10620067</v>
      </c>
    </row>
    <row r="36" ht="13.5" customHeight="1">
      <c r="A36" s="7" t="s">
        <v>101</v>
      </c>
      <c r="B36" s="7" t="s">
        <v>102</v>
      </c>
      <c r="C36" s="9">
        <v>83.63085815</v>
      </c>
    </row>
    <row r="37" ht="13.5" customHeight="1">
      <c r="A37" s="7" t="s">
        <v>103</v>
      </c>
      <c r="B37" s="7" t="s">
        <v>104</v>
      </c>
      <c r="C37" s="9">
        <v>0.0</v>
      </c>
    </row>
    <row r="38" ht="13.5" customHeight="1">
      <c r="A38" s="7" t="s">
        <v>105</v>
      </c>
      <c r="B38" s="7" t="s">
        <v>106</v>
      </c>
      <c r="C38" s="9">
        <v>0.0</v>
      </c>
    </row>
    <row r="39" ht="13.5" customHeight="1">
      <c r="A39" s="7" t="s">
        <v>107</v>
      </c>
      <c r="B39" s="7" t="s">
        <v>108</v>
      </c>
      <c r="C39" s="9">
        <v>0.0</v>
      </c>
    </row>
    <row r="40" ht="13.5" customHeight="1">
      <c r="A40" s="7" t="s">
        <v>109</v>
      </c>
      <c r="B40" s="7" t="s">
        <v>110</v>
      </c>
      <c r="C40" s="9">
        <v>75.93542761</v>
      </c>
    </row>
    <row r="41" ht="13.5" customHeight="1">
      <c r="A41" s="7" t="s">
        <v>111</v>
      </c>
      <c r="B41" s="7" t="s">
        <v>112</v>
      </c>
      <c r="C41" s="9">
        <v>71.06122168</v>
      </c>
    </row>
    <row r="42" ht="13.5" customHeight="1">
      <c r="A42" s="7" t="s">
        <v>113</v>
      </c>
      <c r="B42" s="7" t="s">
        <v>114</v>
      </c>
      <c r="C42" s="9">
        <v>89.0290017</v>
      </c>
    </row>
    <row r="43" ht="13.5" customHeight="1">
      <c r="A43" s="7" t="s">
        <v>115</v>
      </c>
      <c r="B43" s="7" t="s">
        <v>116</v>
      </c>
      <c r="C43" s="9">
        <v>0.0</v>
      </c>
    </row>
    <row r="44" ht="13.5" customHeight="1">
      <c r="A44" s="7" t="s">
        <v>117</v>
      </c>
      <c r="B44" s="7" t="s">
        <v>118</v>
      </c>
      <c r="C44" s="9">
        <v>63.34326897</v>
      </c>
    </row>
    <row r="45" ht="13.5" customHeight="1">
      <c r="A45" s="7" t="s">
        <v>119</v>
      </c>
      <c r="B45" s="7" t="s">
        <v>120</v>
      </c>
      <c r="C45" s="9">
        <v>67.55411794</v>
      </c>
    </row>
    <row r="46" ht="13.5" customHeight="1">
      <c r="A46" s="7" t="s">
        <v>121</v>
      </c>
      <c r="B46" s="7" t="s">
        <v>122</v>
      </c>
      <c r="C46" s="9">
        <v>0.0</v>
      </c>
    </row>
    <row r="47" ht="13.5" customHeight="1">
      <c r="A47" s="7" t="s">
        <v>123</v>
      </c>
      <c r="B47" s="7" t="s">
        <v>124</v>
      </c>
      <c r="C47" s="9">
        <v>44.17790004</v>
      </c>
    </row>
    <row r="48" ht="13.5" customHeight="1">
      <c r="A48" s="7" t="s">
        <v>125</v>
      </c>
      <c r="B48" s="7" t="s">
        <v>126</v>
      </c>
      <c r="C48" s="9">
        <v>60.64279137</v>
      </c>
    </row>
    <row r="49" ht="13.5" customHeight="1">
      <c r="A49" s="7" t="s">
        <v>127</v>
      </c>
      <c r="B49" s="7" t="s">
        <v>128</v>
      </c>
      <c r="C49" s="9">
        <v>76.02128574</v>
      </c>
    </row>
    <row r="50" ht="13.5" customHeight="1">
      <c r="A50" s="7" t="s">
        <v>129</v>
      </c>
      <c r="B50" s="7" t="s">
        <v>130</v>
      </c>
      <c r="C50" s="9">
        <v>29.52856328</v>
      </c>
    </row>
    <row r="51" ht="13.5" customHeight="1">
      <c r="A51" s="7" t="s">
        <v>131</v>
      </c>
      <c r="B51" s="7" t="s">
        <v>132</v>
      </c>
      <c r="C51" s="9">
        <v>11.17006731</v>
      </c>
    </row>
    <row r="52" ht="13.5" customHeight="1">
      <c r="A52" s="7" t="s">
        <v>133</v>
      </c>
      <c r="B52" s="7" t="s">
        <v>134</v>
      </c>
      <c r="C52" s="9">
        <v>94.10908408</v>
      </c>
    </row>
    <row r="53" ht="13.5" customHeight="1">
      <c r="A53" s="7" t="s">
        <v>135</v>
      </c>
      <c r="B53" s="7" t="s">
        <v>136</v>
      </c>
      <c r="C53" s="9">
        <v>75.71553786</v>
      </c>
    </row>
    <row r="54" ht="13.5" customHeight="1">
      <c r="A54" s="7" t="s">
        <v>137</v>
      </c>
      <c r="B54" s="7" t="s">
        <v>138</v>
      </c>
      <c r="C54" s="9">
        <v>38.43898068</v>
      </c>
    </row>
    <row r="55" ht="13.5" customHeight="1">
      <c r="A55" s="7" t="s">
        <v>139</v>
      </c>
      <c r="B55" s="7" t="s">
        <v>140</v>
      </c>
      <c r="C55" s="9">
        <v>0.0</v>
      </c>
    </row>
    <row r="56" ht="13.5" customHeight="1">
      <c r="A56" s="7" t="s">
        <v>141</v>
      </c>
      <c r="B56" s="7" t="s">
        <v>142</v>
      </c>
      <c r="C56" s="9">
        <v>69.89151005</v>
      </c>
    </row>
    <row r="57" ht="13.5" customHeight="1">
      <c r="A57" s="7" t="s">
        <v>143</v>
      </c>
      <c r="B57" s="7" t="s">
        <v>144</v>
      </c>
      <c r="C57" s="9">
        <v>31.02419267</v>
      </c>
    </row>
    <row r="58" ht="13.5" customHeight="1">
      <c r="A58" s="7" t="s">
        <v>145</v>
      </c>
      <c r="B58" s="7" t="s">
        <v>146</v>
      </c>
      <c r="C58" s="9">
        <v>67.55504234</v>
      </c>
    </row>
    <row r="59" ht="13.5" customHeight="1">
      <c r="A59" s="7" t="s">
        <v>147</v>
      </c>
      <c r="B59" s="7" t="s">
        <v>148</v>
      </c>
      <c r="C59" s="9">
        <v>52.03179573</v>
      </c>
    </row>
    <row r="60" ht="13.5" customHeight="1">
      <c r="A60" s="7" t="s">
        <v>149</v>
      </c>
      <c r="B60" s="7" t="s">
        <v>150</v>
      </c>
      <c r="C60" s="9">
        <v>29.43444406</v>
      </c>
    </row>
    <row r="61" ht="13.5" customHeight="1">
      <c r="A61" s="7" t="s">
        <v>151</v>
      </c>
      <c r="B61" s="7" t="s">
        <v>152</v>
      </c>
      <c r="C61" s="9">
        <v>0.0</v>
      </c>
    </row>
    <row r="62" ht="13.5" customHeight="1">
      <c r="A62" s="7" t="s">
        <v>153</v>
      </c>
      <c r="B62" s="7" t="s">
        <v>154</v>
      </c>
      <c r="C62" s="9">
        <v>71.08573753</v>
      </c>
    </row>
    <row r="63" ht="13.5" customHeight="1">
      <c r="A63" s="7" t="s">
        <v>155</v>
      </c>
      <c r="B63" s="7" t="s">
        <v>156</v>
      </c>
      <c r="C63" s="9">
        <v>75.33051833</v>
      </c>
    </row>
    <row r="64" ht="13.5" customHeight="1">
      <c r="A64" s="7" t="s">
        <v>157</v>
      </c>
      <c r="B64" s="7" t="s">
        <v>158</v>
      </c>
      <c r="C64" s="9">
        <v>58.44851223</v>
      </c>
    </row>
    <row r="65" ht="13.5" customHeight="1">
      <c r="A65" s="7" t="s">
        <v>159</v>
      </c>
      <c r="B65" s="7" t="s">
        <v>160</v>
      </c>
      <c r="C65" s="9">
        <v>0.0</v>
      </c>
    </row>
    <row r="66" ht="13.5" customHeight="1">
      <c r="A66" s="7" t="s">
        <v>161</v>
      </c>
      <c r="B66" s="7" t="s">
        <v>162</v>
      </c>
      <c r="C66" s="9">
        <v>15.41040202</v>
      </c>
    </row>
    <row r="67" ht="13.5" customHeight="1">
      <c r="A67" s="7" t="s">
        <v>163</v>
      </c>
      <c r="B67" s="7" t="s">
        <v>164</v>
      </c>
      <c r="C67" s="9">
        <v>20.47154609</v>
      </c>
    </row>
    <row r="68" ht="13.5" customHeight="1">
      <c r="A68" s="7" t="s">
        <v>165</v>
      </c>
      <c r="B68" s="7" t="s">
        <v>166</v>
      </c>
      <c r="C68" s="9">
        <v>90.18251381</v>
      </c>
    </row>
    <row r="69" ht="13.5" customHeight="1">
      <c r="A69" s="7" t="s">
        <v>167</v>
      </c>
      <c r="B69" s="7" t="s">
        <v>168</v>
      </c>
      <c r="C69" s="9">
        <v>81.92295105</v>
      </c>
    </row>
    <row r="70" ht="13.5" customHeight="1">
      <c r="A70" s="7" t="s">
        <v>169</v>
      </c>
      <c r="B70" s="7" t="s">
        <v>170</v>
      </c>
      <c r="C70" s="9">
        <v>10.40619326</v>
      </c>
    </row>
    <row r="71" ht="13.5" customHeight="1">
      <c r="A71" s="7" t="s">
        <v>171</v>
      </c>
      <c r="B71" s="7" t="s">
        <v>172</v>
      </c>
      <c r="C71" s="9">
        <v>71.39379215</v>
      </c>
    </row>
    <row r="72" ht="13.5" customHeight="1">
      <c r="A72" s="7" t="s">
        <v>173</v>
      </c>
      <c r="B72" s="7" t="s">
        <v>174</v>
      </c>
      <c r="C72" s="9">
        <v>0.0</v>
      </c>
    </row>
    <row r="73" ht="13.5" customHeight="1">
      <c r="A73" s="7" t="s">
        <v>175</v>
      </c>
      <c r="B73" s="7" t="s">
        <v>176</v>
      </c>
      <c r="C73" s="9">
        <v>78.66398894</v>
      </c>
    </row>
    <row r="74" ht="13.5" customHeight="1">
      <c r="A74" s="7" t="s">
        <v>177</v>
      </c>
      <c r="B74" s="7" t="s">
        <v>178</v>
      </c>
      <c r="C74" s="9">
        <v>87.0139116</v>
      </c>
    </row>
    <row r="75" ht="13.5" customHeight="1">
      <c r="A75" s="7" t="s">
        <v>179</v>
      </c>
      <c r="B75" s="7" t="s">
        <v>180</v>
      </c>
      <c r="C75" s="9">
        <v>68.41443652</v>
      </c>
    </row>
    <row r="76" ht="13.5" customHeight="1">
      <c r="A76" s="7" t="s">
        <v>181</v>
      </c>
      <c r="B76" s="7" t="s">
        <v>182</v>
      </c>
      <c r="C76" s="9">
        <v>2.755638891</v>
      </c>
    </row>
    <row r="77" ht="13.5" customHeight="1">
      <c r="A77" s="7" t="s">
        <v>183</v>
      </c>
      <c r="B77" s="7" t="s">
        <v>184</v>
      </c>
      <c r="C77" s="9">
        <v>68.8122791</v>
      </c>
    </row>
    <row r="78" ht="13.5" customHeight="1">
      <c r="A78" s="7" t="s">
        <v>185</v>
      </c>
      <c r="B78" s="7" t="s">
        <v>186</v>
      </c>
      <c r="C78" s="9">
        <v>39.57347347</v>
      </c>
    </row>
    <row r="79" ht="13.5" customHeight="1">
      <c r="A79" s="7" t="s">
        <v>187</v>
      </c>
      <c r="B79" s="7" t="s">
        <v>188</v>
      </c>
      <c r="C79" s="9">
        <v>0.0</v>
      </c>
    </row>
    <row r="80" ht="13.5" customHeight="1">
      <c r="A80" s="7" t="s">
        <v>189</v>
      </c>
      <c r="B80" s="7" t="s">
        <v>190</v>
      </c>
      <c r="C80" s="9">
        <v>7.031565728</v>
      </c>
    </row>
    <row r="81" ht="13.5" customHeight="1">
      <c r="A81" s="7" t="s">
        <v>191</v>
      </c>
      <c r="B81" s="7" t="s">
        <v>192</v>
      </c>
      <c r="C81" s="9">
        <v>55.4433265</v>
      </c>
    </row>
    <row r="82" ht="13.5" customHeight="1">
      <c r="A82" s="7" t="s">
        <v>193</v>
      </c>
      <c r="B82" s="7" t="s">
        <v>194</v>
      </c>
      <c r="C82" s="9">
        <v>29.9372991</v>
      </c>
    </row>
    <row r="83" ht="13.5" customHeight="1">
      <c r="A83" s="7" t="s">
        <v>195</v>
      </c>
      <c r="B83" s="7" t="s">
        <v>196</v>
      </c>
      <c r="C83" s="9">
        <v>0.0</v>
      </c>
    </row>
    <row r="84" ht="13.5" customHeight="1">
      <c r="A84" s="7" t="s">
        <v>197</v>
      </c>
      <c r="B84" s="7" t="s">
        <v>198</v>
      </c>
      <c r="C84" s="9">
        <v>0.0</v>
      </c>
    </row>
    <row r="85" ht="13.5" customHeight="1">
      <c r="A85" s="7" t="s">
        <v>199</v>
      </c>
      <c r="B85" s="7" t="s">
        <v>200</v>
      </c>
      <c r="C85" s="9">
        <v>5.685977293</v>
      </c>
    </row>
    <row r="86" ht="13.5" customHeight="1">
      <c r="A86" s="7" t="s">
        <v>201</v>
      </c>
      <c r="B86" s="7" t="s">
        <v>202</v>
      </c>
      <c r="C86" s="9">
        <v>32.34145685</v>
      </c>
    </row>
    <row r="87" ht="13.5" customHeight="1">
      <c r="A87" s="7" t="s">
        <v>203</v>
      </c>
      <c r="B87" s="7" t="s">
        <v>204</v>
      </c>
      <c r="C87" s="9">
        <v>69.13879282</v>
      </c>
    </row>
    <row r="88" ht="13.5" customHeight="1">
      <c r="A88" s="7" t="s">
        <v>205</v>
      </c>
      <c r="B88" s="7" t="s">
        <v>206</v>
      </c>
      <c r="C88" s="9">
        <v>88.3137202</v>
      </c>
    </row>
    <row r="89" ht="13.5" customHeight="1">
      <c r="A89" s="7" t="s">
        <v>207</v>
      </c>
      <c r="B89" s="7" t="s">
        <v>208</v>
      </c>
      <c r="C89" s="9">
        <v>63.45634886</v>
      </c>
    </row>
    <row r="90" ht="13.5" customHeight="1">
      <c r="A90" s="7" t="s">
        <v>209</v>
      </c>
      <c r="B90" s="7" t="s">
        <v>210</v>
      </c>
      <c r="C90" s="9">
        <v>71.68034816</v>
      </c>
    </row>
    <row r="91" ht="13.5" customHeight="1">
      <c r="A91" s="7" t="s">
        <v>211</v>
      </c>
      <c r="B91" s="7" t="s">
        <v>212</v>
      </c>
      <c r="C91" s="9">
        <v>77.00015093</v>
      </c>
    </row>
    <row r="92" ht="13.5" customHeight="1">
      <c r="A92" s="7" t="s">
        <v>213</v>
      </c>
      <c r="B92" s="7" t="s">
        <v>214</v>
      </c>
      <c r="C92" s="9">
        <v>53.06445938</v>
      </c>
    </row>
    <row r="93" ht="13.5" customHeight="1">
      <c r="A93" s="7" t="s">
        <v>215</v>
      </c>
      <c r="B93" s="7" t="s">
        <v>216</v>
      </c>
      <c r="C93" s="9">
        <v>46.69837797</v>
      </c>
    </row>
    <row r="94" ht="13.5" customHeight="1">
      <c r="A94" s="7" t="s">
        <v>217</v>
      </c>
      <c r="B94" s="7" t="s">
        <v>218</v>
      </c>
      <c r="C94" s="9">
        <v>73.65456328</v>
      </c>
    </row>
    <row r="95" ht="13.5" customHeight="1">
      <c r="A95" s="7" t="s">
        <v>219</v>
      </c>
      <c r="B95" s="7" t="s">
        <v>220</v>
      </c>
      <c r="C95" s="9">
        <v>73.63166212</v>
      </c>
    </row>
    <row r="96" ht="13.5" customHeight="1">
      <c r="A96" s="7" t="s">
        <v>221</v>
      </c>
      <c r="B96" s="7" t="s">
        <v>222</v>
      </c>
      <c r="C96" s="9">
        <v>76.62339576</v>
      </c>
    </row>
    <row r="97" ht="13.5" customHeight="1">
      <c r="A97" s="7" t="s">
        <v>223</v>
      </c>
      <c r="B97" s="7" t="s">
        <v>224</v>
      </c>
      <c r="C97" s="9">
        <v>49.13925263</v>
      </c>
    </row>
    <row r="98" ht="13.5" customHeight="1">
      <c r="A98" s="7" t="s">
        <v>225</v>
      </c>
      <c r="B98" s="7" t="s">
        <v>226</v>
      </c>
      <c r="C98" s="9">
        <v>89.4609575</v>
      </c>
    </row>
    <row r="99" ht="13.5" customHeight="1">
      <c r="A99" s="7" t="s">
        <v>227</v>
      </c>
      <c r="B99" s="7" t="s">
        <v>228</v>
      </c>
      <c r="C99" s="9">
        <v>68.69838813</v>
      </c>
    </row>
    <row r="100" ht="13.5" customHeight="1">
      <c r="A100" s="7" t="s">
        <v>229</v>
      </c>
      <c r="B100" s="7" t="s">
        <v>230</v>
      </c>
      <c r="C100" s="9">
        <v>78.92542013</v>
      </c>
    </row>
    <row r="101" ht="13.5" customHeight="1">
      <c r="A101" s="7" t="s">
        <v>231</v>
      </c>
      <c r="B101" s="7" t="s">
        <v>232</v>
      </c>
      <c r="C101" s="9">
        <v>55.55711415</v>
      </c>
    </row>
    <row r="102" ht="13.5" customHeight="1">
      <c r="A102" s="7" t="s">
        <v>233</v>
      </c>
      <c r="B102" s="7" t="s">
        <v>234</v>
      </c>
      <c r="C102" s="9">
        <v>0.0</v>
      </c>
    </row>
    <row r="103" ht="13.5" customHeight="1">
      <c r="A103" s="7" t="s">
        <v>235</v>
      </c>
      <c r="B103" s="7" t="s">
        <v>236</v>
      </c>
      <c r="C103" s="9">
        <v>65.10501801</v>
      </c>
    </row>
    <row r="104" ht="13.5" customHeight="1">
      <c r="A104" s="7" t="s">
        <v>237</v>
      </c>
      <c r="B104" s="7" t="s">
        <v>238</v>
      </c>
      <c r="C104" s="9">
        <v>62.55818883</v>
      </c>
    </row>
    <row r="105" ht="13.5" customHeight="1">
      <c r="A105" s="7" t="s">
        <v>239</v>
      </c>
      <c r="B105" s="7" t="s">
        <v>240</v>
      </c>
      <c r="C105" s="9">
        <v>90.25695867</v>
      </c>
    </row>
    <row r="106" ht="13.5" customHeight="1">
      <c r="A106" s="7" t="s">
        <v>241</v>
      </c>
      <c r="B106" s="7" t="s">
        <v>242</v>
      </c>
      <c r="C106" s="9">
        <v>43.04742559</v>
      </c>
    </row>
    <row r="107" ht="13.5" customHeight="1">
      <c r="A107" s="7" t="s">
        <v>243</v>
      </c>
      <c r="B107" s="7" t="s">
        <v>244</v>
      </c>
      <c r="C107" s="9">
        <v>73.21569386</v>
      </c>
    </row>
    <row r="108" ht="13.5" customHeight="1">
      <c r="A108" s="7" t="s">
        <v>245</v>
      </c>
      <c r="B108" s="7" t="s">
        <v>246</v>
      </c>
      <c r="C108" s="9">
        <v>12.43301061</v>
      </c>
    </row>
    <row r="109" ht="13.5" customHeight="1">
      <c r="A109" s="7" t="s">
        <v>247</v>
      </c>
      <c r="B109" s="7" t="s">
        <v>248</v>
      </c>
      <c r="C109" s="9">
        <v>31.60057687</v>
      </c>
    </row>
    <row r="110" ht="13.5" customHeight="1">
      <c r="A110" s="7" t="s">
        <v>249</v>
      </c>
      <c r="B110" s="7" t="s">
        <v>250</v>
      </c>
      <c r="C110" s="9">
        <v>21.82332014</v>
      </c>
    </row>
    <row r="111" ht="13.5" customHeight="1">
      <c r="A111" s="7" t="s">
        <v>251</v>
      </c>
      <c r="B111" s="7" t="s">
        <v>252</v>
      </c>
      <c r="C111" s="9">
        <v>62.28487996</v>
      </c>
    </row>
    <row r="112" ht="13.5" customHeight="1">
      <c r="A112" s="7" t="s">
        <v>253</v>
      </c>
      <c r="B112" s="7" t="s">
        <v>254</v>
      </c>
      <c r="C112" s="9">
        <v>73.61796797</v>
      </c>
    </row>
    <row r="113" ht="13.5" customHeight="1">
      <c r="A113" s="7" t="s">
        <v>255</v>
      </c>
      <c r="B113" s="7" t="s">
        <v>256</v>
      </c>
      <c r="C113" s="9">
        <v>60.12330615</v>
      </c>
    </row>
    <row r="114" ht="13.5" customHeight="1">
      <c r="A114" s="7" t="s">
        <v>257</v>
      </c>
      <c r="B114" s="7" t="s">
        <v>258</v>
      </c>
      <c r="C114" s="9">
        <v>74.99196035</v>
      </c>
    </row>
    <row r="115" ht="13.5" customHeight="1">
      <c r="A115" s="7" t="s">
        <v>259</v>
      </c>
      <c r="B115" s="7" t="s">
        <v>260</v>
      </c>
      <c r="C115" s="9">
        <v>52.20560016</v>
      </c>
    </row>
    <row r="116" ht="13.5" customHeight="1">
      <c r="A116" s="7" t="s">
        <v>261</v>
      </c>
      <c r="B116" s="7" t="s">
        <v>262</v>
      </c>
      <c r="C116" s="9">
        <v>53.42233894</v>
      </c>
    </row>
    <row r="117" ht="13.5" customHeight="1">
      <c r="A117" s="7" t="s">
        <v>263</v>
      </c>
      <c r="B117" s="7" t="s">
        <v>264</v>
      </c>
      <c r="C117" s="9">
        <v>84.1078986</v>
      </c>
    </row>
    <row r="118" ht="13.5" customHeight="1">
      <c r="A118" s="7" t="s">
        <v>265</v>
      </c>
      <c r="B118" s="7" t="s">
        <v>266</v>
      </c>
      <c r="C118" s="9">
        <v>0.0</v>
      </c>
    </row>
    <row r="119" ht="13.5" customHeight="1">
      <c r="A119" s="7" t="s">
        <v>267</v>
      </c>
      <c r="B119" s="7" t="s">
        <v>268</v>
      </c>
      <c r="C119" s="9">
        <v>6.493598475</v>
      </c>
    </row>
    <row r="120" ht="13.5" customHeight="1">
      <c r="A120" s="7" t="s">
        <v>269</v>
      </c>
      <c r="B120" s="7" t="s">
        <v>270</v>
      </c>
      <c r="C120" s="9">
        <v>35.29289871</v>
      </c>
    </row>
    <row r="121" ht="13.5" customHeight="1">
      <c r="A121" s="7" t="s">
        <v>271</v>
      </c>
      <c r="B121" s="7" t="s">
        <v>272</v>
      </c>
      <c r="C121" s="9">
        <v>9.43054249</v>
      </c>
    </row>
    <row r="122" ht="13.5" customHeight="1">
      <c r="A122" s="7" t="s">
        <v>273</v>
      </c>
      <c r="B122" s="7" t="s">
        <v>274</v>
      </c>
      <c r="C122" s="9">
        <v>53.13501766</v>
      </c>
    </row>
    <row r="123" ht="13.5" customHeight="1">
      <c r="A123" s="7" t="s">
        <v>275</v>
      </c>
      <c r="B123" s="7" t="s">
        <v>276</v>
      </c>
      <c r="C123" s="9">
        <v>73.343779</v>
      </c>
    </row>
    <row r="124" ht="13.5" customHeight="1">
      <c r="A124" s="7" t="s">
        <v>454</v>
      </c>
      <c r="B124" s="7" t="s">
        <v>455</v>
      </c>
      <c r="C124" s="9">
        <v>0.0</v>
      </c>
    </row>
    <row r="125" ht="13.5" customHeight="1">
      <c r="A125" s="7" t="s">
        <v>277</v>
      </c>
      <c r="B125" s="7" t="s">
        <v>278</v>
      </c>
      <c r="C125" s="9">
        <v>64.70708252</v>
      </c>
    </row>
    <row r="126" ht="13.5" customHeight="1">
      <c r="A126" s="7" t="s">
        <v>279</v>
      </c>
      <c r="B126" s="7" t="s">
        <v>280</v>
      </c>
      <c r="C126" s="9">
        <v>65.08357132</v>
      </c>
    </row>
    <row r="127" ht="13.5" customHeight="1">
      <c r="A127" s="7" t="s">
        <v>281</v>
      </c>
      <c r="B127" s="7" t="s">
        <v>282</v>
      </c>
      <c r="C127" s="9">
        <v>77.99619587</v>
      </c>
    </row>
    <row r="128" ht="13.5" customHeight="1">
      <c r="A128" s="7" t="s">
        <v>283</v>
      </c>
      <c r="B128" s="7" t="s">
        <v>284</v>
      </c>
      <c r="C128" s="9">
        <v>0.0</v>
      </c>
    </row>
    <row r="129" ht="13.5" customHeight="1">
      <c r="A129" s="7" t="s">
        <v>285</v>
      </c>
      <c r="B129" s="7" t="s">
        <v>286</v>
      </c>
      <c r="C129" s="9">
        <v>61.65973261</v>
      </c>
    </row>
    <row r="130" ht="13.5" customHeight="1">
      <c r="A130" s="7" t="s">
        <v>287</v>
      </c>
      <c r="B130" s="7" t="s">
        <v>288</v>
      </c>
      <c r="C130" s="9">
        <v>80.68852407</v>
      </c>
    </row>
    <row r="131" ht="13.5" customHeight="1">
      <c r="A131" s="7" t="s">
        <v>289</v>
      </c>
      <c r="B131" s="7" t="s">
        <v>290</v>
      </c>
      <c r="C131" s="9">
        <v>43.80683495</v>
      </c>
    </row>
    <row r="132" ht="13.5" customHeight="1">
      <c r="A132" s="7" t="s">
        <v>291</v>
      </c>
      <c r="B132" s="7" t="s">
        <v>292</v>
      </c>
      <c r="C132" s="9">
        <v>0.0</v>
      </c>
    </row>
    <row r="133" ht="13.5" customHeight="1">
      <c r="A133" s="7" t="s">
        <v>293</v>
      </c>
      <c r="B133" s="7" t="s">
        <v>294</v>
      </c>
      <c r="C133" s="9">
        <v>65.05196793</v>
      </c>
    </row>
    <row r="134" ht="13.5" customHeight="1">
      <c r="A134" s="7" t="s">
        <v>295</v>
      </c>
      <c r="B134" s="7" t="s">
        <v>296</v>
      </c>
      <c r="C134" s="9">
        <v>77.2000964</v>
      </c>
    </row>
    <row r="135" ht="13.5" customHeight="1">
      <c r="A135" s="7" t="s">
        <v>297</v>
      </c>
      <c r="B135" s="7" t="s">
        <v>298</v>
      </c>
      <c r="C135" s="9">
        <v>48.97365724</v>
      </c>
    </row>
    <row r="136" ht="13.5" customHeight="1">
      <c r="A136" s="7" t="s">
        <v>299</v>
      </c>
      <c r="B136" s="7" t="s">
        <v>300</v>
      </c>
      <c r="C136" s="9">
        <v>80.1906262</v>
      </c>
    </row>
    <row r="137" ht="13.5" customHeight="1">
      <c r="A137" s="7" t="s">
        <v>301</v>
      </c>
      <c r="B137" s="7" t="s">
        <v>302</v>
      </c>
      <c r="C137" s="9">
        <v>39.05985769</v>
      </c>
    </row>
    <row r="138" ht="13.5" customHeight="1">
      <c r="A138" s="7" t="s">
        <v>303</v>
      </c>
      <c r="B138" s="7" t="s">
        <v>304</v>
      </c>
      <c r="C138" s="9">
        <v>34.67616035</v>
      </c>
    </row>
    <row r="139" ht="13.5" customHeight="1">
      <c r="A139" s="7" t="s">
        <v>305</v>
      </c>
      <c r="B139" s="7" t="s">
        <v>306</v>
      </c>
      <c r="C139" s="9">
        <v>65.32229249</v>
      </c>
    </row>
    <row r="140" ht="13.5" customHeight="1">
      <c r="A140" s="7" t="s">
        <v>309</v>
      </c>
      <c r="B140" s="7" t="s">
        <v>310</v>
      </c>
      <c r="C140" s="9">
        <v>33.28587401</v>
      </c>
    </row>
    <row r="141" ht="13.5" customHeight="1">
      <c r="A141" s="7" t="s">
        <v>311</v>
      </c>
      <c r="B141" s="7" t="s">
        <v>312</v>
      </c>
      <c r="C141" s="9">
        <v>81.41604122</v>
      </c>
    </row>
    <row r="142" ht="13.5" customHeight="1">
      <c r="A142" s="7" t="s">
        <v>313</v>
      </c>
      <c r="B142" s="7" t="s">
        <v>314</v>
      </c>
      <c r="C142" s="9">
        <v>78.79274974</v>
      </c>
    </row>
    <row r="143" ht="13.5" customHeight="1">
      <c r="A143" s="7" t="s">
        <v>315</v>
      </c>
      <c r="B143" s="7" t="s">
        <v>316</v>
      </c>
      <c r="C143" s="9">
        <v>53.91305168</v>
      </c>
    </row>
    <row r="144" ht="13.5" customHeight="1">
      <c r="A144" s="7" t="s">
        <v>317</v>
      </c>
      <c r="B144" s="7" t="s">
        <v>318</v>
      </c>
      <c r="C144" s="9">
        <v>90.36194474</v>
      </c>
    </row>
    <row r="145" ht="13.5" customHeight="1">
      <c r="A145" s="7" t="s">
        <v>319</v>
      </c>
      <c r="B145" s="7" t="s">
        <v>320</v>
      </c>
      <c r="C145" s="9">
        <v>49.64915163</v>
      </c>
    </row>
    <row r="146" ht="13.5" customHeight="1">
      <c r="A146" s="7" t="s">
        <v>321</v>
      </c>
      <c r="B146" s="7" t="s">
        <v>322</v>
      </c>
      <c r="C146" s="9">
        <v>42.29335135</v>
      </c>
    </row>
    <row r="147" ht="13.5" customHeight="1">
      <c r="A147" s="7" t="s">
        <v>323</v>
      </c>
      <c r="B147" s="7" t="s">
        <v>324</v>
      </c>
      <c r="C147" s="9">
        <v>38.62597021</v>
      </c>
    </row>
    <row r="148" ht="13.5" customHeight="1">
      <c r="A148" s="7" t="s">
        <v>325</v>
      </c>
      <c r="B148" s="7" t="s">
        <v>326</v>
      </c>
      <c r="C148" s="9">
        <v>61.31839066</v>
      </c>
    </row>
    <row r="149" ht="13.5" customHeight="1">
      <c r="A149" s="7" t="s">
        <v>327</v>
      </c>
      <c r="B149" s="7" t="s">
        <v>328</v>
      </c>
      <c r="C149" s="9">
        <v>76.09459255</v>
      </c>
    </row>
    <row r="150" ht="13.5" customHeight="1">
      <c r="A150" s="7" t="s">
        <v>329</v>
      </c>
      <c r="B150" s="7" t="s">
        <v>330</v>
      </c>
      <c r="C150" s="9">
        <v>74.00138422</v>
      </c>
    </row>
    <row r="151" ht="13.5" customHeight="1">
      <c r="A151" s="7" t="s">
        <v>331</v>
      </c>
      <c r="B151" s="7" t="s">
        <v>332</v>
      </c>
      <c r="C151" s="9">
        <v>81.72614933</v>
      </c>
    </row>
    <row r="152" ht="13.5" customHeight="1">
      <c r="A152" s="7" t="s">
        <v>333</v>
      </c>
      <c r="B152" s="7" t="s">
        <v>334</v>
      </c>
      <c r="C152" s="9">
        <v>71.65525436</v>
      </c>
    </row>
    <row r="153" ht="13.5" customHeight="1">
      <c r="A153" s="7" t="s">
        <v>335</v>
      </c>
      <c r="B153" s="7" t="s">
        <v>336</v>
      </c>
      <c r="C153" s="9">
        <v>63.90140142</v>
      </c>
    </row>
    <row r="154" ht="13.5" customHeight="1">
      <c r="A154" s="7" t="s">
        <v>337</v>
      </c>
      <c r="B154" s="7" t="s">
        <v>338</v>
      </c>
      <c r="C154" s="9">
        <v>42.2072517</v>
      </c>
    </row>
    <row r="155" ht="13.5" customHeight="1">
      <c r="A155" s="7" t="s">
        <v>339</v>
      </c>
      <c r="B155" s="7" t="s">
        <v>340</v>
      </c>
      <c r="C155" s="9">
        <v>89.38355743</v>
      </c>
    </row>
    <row r="156" ht="13.5" customHeight="1">
      <c r="A156" s="7" t="s">
        <v>341</v>
      </c>
      <c r="B156" s="7" t="s">
        <v>342</v>
      </c>
      <c r="C156" s="9">
        <v>80.1041044</v>
      </c>
    </row>
    <row r="157" ht="13.5" customHeight="1">
      <c r="A157" s="7" t="s">
        <v>343</v>
      </c>
      <c r="B157" s="7" t="s">
        <v>344</v>
      </c>
      <c r="C157" s="9">
        <v>55.46710191</v>
      </c>
    </row>
    <row r="158" ht="13.5" customHeight="1">
      <c r="A158" s="7" t="s">
        <v>347</v>
      </c>
      <c r="B158" s="7" t="s">
        <v>348</v>
      </c>
      <c r="C158" s="9">
        <v>0.0</v>
      </c>
    </row>
    <row r="159" ht="13.5" customHeight="1">
      <c r="A159" s="7" t="s">
        <v>349</v>
      </c>
      <c r="B159" s="7" t="s">
        <v>350</v>
      </c>
      <c r="C159" s="9">
        <v>0.0</v>
      </c>
    </row>
    <row r="160" ht="13.5" customHeight="1">
      <c r="A160" s="7" t="s">
        <v>351</v>
      </c>
      <c r="B160" s="7" t="s">
        <v>352</v>
      </c>
      <c r="C160" s="9">
        <v>0.0</v>
      </c>
    </row>
    <row r="161" ht="13.5" customHeight="1">
      <c r="A161" s="7" t="s">
        <v>353</v>
      </c>
      <c r="B161" s="7" t="s">
        <v>354</v>
      </c>
      <c r="C161" s="9">
        <v>0.0</v>
      </c>
    </row>
    <row r="162" ht="13.5" customHeight="1">
      <c r="A162" s="7" t="s">
        <v>355</v>
      </c>
      <c r="B162" s="7" t="s">
        <v>356</v>
      </c>
      <c r="C162" s="9">
        <v>0.0</v>
      </c>
    </row>
    <row r="163" ht="13.5" customHeight="1">
      <c r="A163" s="7" t="s">
        <v>357</v>
      </c>
      <c r="B163" s="7" t="s">
        <v>358</v>
      </c>
      <c r="C163" s="9">
        <v>0.0</v>
      </c>
    </row>
    <row r="164" ht="13.5" customHeight="1">
      <c r="A164" s="7" t="s">
        <v>359</v>
      </c>
      <c r="B164" s="7" t="s">
        <v>360</v>
      </c>
      <c r="C164" s="9">
        <v>59.34103686</v>
      </c>
    </row>
    <row r="165" ht="13.5" customHeight="1">
      <c r="A165" s="7" t="s">
        <v>361</v>
      </c>
      <c r="B165" s="7" t="s">
        <v>362</v>
      </c>
      <c r="C165" s="9">
        <v>14.26023088</v>
      </c>
    </row>
    <row r="166" ht="13.5" customHeight="1">
      <c r="A166" s="7" t="s">
        <v>363</v>
      </c>
      <c r="B166" s="7" t="s">
        <v>364</v>
      </c>
      <c r="C166" s="9">
        <v>86.10691003</v>
      </c>
    </row>
    <row r="167" ht="13.5" customHeight="1">
      <c r="A167" s="7" t="s">
        <v>365</v>
      </c>
      <c r="B167" s="7" t="s">
        <v>366</v>
      </c>
      <c r="C167" s="9">
        <v>0.0</v>
      </c>
    </row>
    <row r="168" ht="13.5" customHeight="1">
      <c r="A168" s="7" t="s">
        <v>367</v>
      </c>
      <c r="B168" s="7" t="s">
        <v>368</v>
      </c>
      <c r="C168" s="9">
        <v>7.539005473</v>
      </c>
    </row>
    <row r="169" ht="13.5" customHeight="1">
      <c r="A169" s="7" t="s">
        <v>369</v>
      </c>
      <c r="B169" s="7" t="s">
        <v>370</v>
      </c>
      <c r="C169" s="9">
        <v>31.57187495</v>
      </c>
    </row>
    <row r="170" ht="13.5" customHeight="1">
      <c r="A170" s="7" t="s">
        <v>371</v>
      </c>
      <c r="B170" s="7" t="s">
        <v>372</v>
      </c>
      <c r="C170" s="9">
        <v>92.73486975</v>
      </c>
    </row>
    <row r="171" ht="13.5" customHeight="1">
      <c r="A171" s="7" t="s">
        <v>373</v>
      </c>
      <c r="B171" s="7" t="s">
        <v>374</v>
      </c>
      <c r="C171" s="9">
        <v>91.28769567</v>
      </c>
    </row>
    <row r="172" ht="13.5" customHeight="1">
      <c r="A172" s="7" t="s">
        <v>375</v>
      </c>
      <c r="B172" s="7" t="s">
        <v>376</v>
      </c>
      <c r="C172" s="9">
        <v>0.0</v>
      </c>
    </row>
    <row r="173" ht="13.5" customHeight="1">
      <c r="A173" s="7" t="s">
        <v>377</v>
      </c>
      <c r="B173" s="7" t="s">
        <v>378</v>
      </c>
      <c r="C173" s="9">
        <v>0.0</v>
      </c>
    </row>
    <row r="174" ht="13.5" customHeight="1">
      <c r="A174" s="7" t="s">
        <v>379</v>
      </c>
      <c r="B174" s="7" t="s">
        <v>380</v>
      </c>
      <c r="C174" s="9">
        <v>56.74853093</v>
      </c>
    </row>
    <row r="175" ht="13.5" customHeight="1">
      <c r="A175" s="7" t="s">
        <v>381</v>
      </c>
      <c r="B175" s="7" t="s">
        <v>382</v>
      </c>
      <c r="C175" s="9">
        <v>89.98480162</v>
      </c>
    </row>
    <row r="176" ht="13.5" customHeight="1">
      <c r="A176" s="7" t="s">
        <v>383</v>
      </c>
      <c r="B176" s="7" t="s">
        <v>384</v>
      </c>
      <c r="C176" s="9">
        <v>0.0</v>
      </c>
    </row>
    <row r="177" ht="13.5" customHeight="1">
      <c r="A177" s="7" t="s">
        <v>385</v>
      </c>
      <c r="B177" s="7" t="s">
        <v>386</v>
      </c>
      <c r="C177" s="9">
        <v>77.89672562</v>
      </c>
    </row>
    <row r="178" ht="13.5" customHeight="1">
      <c r="A178" s="7" t="s">
        <v>387</v>
      </c>
      <c r="B178" s="7" t="s">
        <v>388</v>
      </c>
      <c r="C178" s="9">
        <v>45.6304102</v>
      </c>
    </row>
    <row r="179" ht="13.5" customHeight="1">
      <c r="A179" s="7" t="s">
        <v>389</v>
      </c>
      <c r="B179" s="7" t="s">
        <v>390</v>
      </c>
      <c r="C179" s="9">
        <v>39.54272982</v>
      </c>
    </row>
    <row r="180" ht="13.5" customHeight="1">
      <c r="A180" s="7" t="s">
        <v>391</v>
      </c>
      <c r="B180" s="7" t="s">
        <v>392</v>
      </c>
      <c r="C180" s="9">
        <v>21.5082529</v>
      </c>
    </row>
    <row r="181" ht="13.5" customHeight="1">
      <c r="A181" s="7" t="s">
        <v>393</v>
      </c>
      <c r="B181" s="7" t="s">
        <v>394</v>
      </c>
      <c r="C181" s="9">
        <v>87.33050869</v>
      </c>
    </row>
    <row r="182" ht="13.5" customHeight="1">
      <c r="A182" s="7" t="s">
        <v>395</v>
      </c>
      <c r="B182" s="7" t="s">
        <v>396</v>
      </c>
      <c r="C182" s="9">
        <v>85.91977663</v>
      </c>
    </row>
    <row r="183" ht="13.5" customHeight="1">
      <c r="A183" s="7" t="s">
        <v>397</v>
      </c>
      <c r="B183" s="7" t="s">
        <v>398</v>
      </c>
      <c r="C183" s="9">
        <v>57.26837922</v>
      </c>
    </row>
    <row r="184" ht="13.5" customHeight="1">
      <c r="A184" s="7" t="s">
        <v>399</v>
      </c>
      <c r="B184" s="7" t="s">
        <v>400</v>
      </c>
      <c r="C184" s="9">
        <v>86.5562827</v>
      </c>
    </row>
    <row r="185" ht="13.5" customHeight="1">
      <c r="A185" s="7" t="s">
        <v>401</v>
      </c>
      <c r="B185" s="7" t="s">
        <v>402</v>
      </c>
      <c r="C185" s="9">
        <v>85.07121443</v>
      </c>
    </row>
    <row r="186" ht="13.5" customHeight="1">
      <c r="A186" s="7" t="s">
        <v>403</v>
      </c>
      <c r="B186" s="7" t="s">
        <v>404</v>
      </c>
      <c r="C186" s="9">
        <v>68.41016893</v>
      </c>
    </row>
    <row r="187" ht="13.5" customHeight="1">
      <c r="A187" s="7" t="s">
        <v>405</v>
      </c>
      <c r="B187" s="7" t="s">
        <v>406</v>
      </c>
      <c r="C187" s="9">
        <v>81.17971761</v>
      </c>
    </row>
    <row r="188" ht="13.5" customHeight="1">
      <c r="A188" s="7" t="s">
        <v>407</v>
      </c>
      <c r="B188" s="7" t="s">
        <v>408</v>
      </c>
      <c r="C188" s="9">
        <v>0.0</v>
      </c>
    </row>
    <row r="189" ht="13.5" customHeight="1">
      <c r="A189" s="7" t="s">
        <v>409</v>
      </c>
      <c r="B189" s="7" t="s">
        <v>410</v>
      </c>
      <c r="C189" s="9">
        <v>0.0</v>
      </c>
    </row>
    <row r="190" ht="13.5" customHeight="1">
      <c r="A190" s="7" t="s">
        <v>411</v>
      </c>
      <c r="B190" s="7" t="s">
        <v>412</v>
      </c>
      <c r="C190" s="9">
        <v>59.24646791</v>
      </c>
    </row>
    <row r="191" ht="13.5" customHeight="1">
      <c r="A191" s="7" t="s">
        <v>413</v>
      </c>
      <c r="B191" s="7" t="s">
        <v>414</v>
      </c>
      <c r="C191" s="9">
        <v>0.0</v>
      </c>
    </row>
    <row r="192" ht="13.5" customHeight="1">
      <c r="A192" s="7" t="s">
        <v>415</v>
      </c>
      <c r="B192" s="7" t="s">
        <v>416</v>
      </c>
      <c r="C192" s="9">
        <v>19.46726716</v>
      </c>
    </row>
    <row r="193" ht="13.5" customHeight="1">
      <c r="A193" s="7" t="s">
        <v>417</v>
      </c>
      <c r="B193" s="7" t="s">
        <v>418</v>
      </c>
      <c r="C193" s="9">
        <v>65.93467027</v>
      </c>
    </row>
    <row r="194" ht="13.5" customHeight="1">
      <c r="A194" s="7" t="s">
        <v>419</v>
      </c>
      <c r="B194" s="7" t="s">
        <v>420</v>
      </c>
      <c r="C194" s="9">
        <v>89.12612407</v>
      </c>
    </row>
    <row r="195" ht="13.5" customHeight="1">
      <c r="A195" s="7" t="s">
        <v>421</v>
      </c>
      <c r="B195" s="7" t="s">
        <v>422</v>
      </c>
      <c r="C195" s="9">
        <v>28.7792717</v>
      </c>
    </row>
    <row r="196" ht="13.5" customHeight="1">
      <c r="A196" s="7" t="s">
        <v>423</v>
      </c>
      <c r="B196" s="7" t="s">
        <v>424</v>
      </c>
      <c r="C196" s="9">
        <v>0.0</v>
      </c>
    </row>
    <row r="197" ht="13.5" customHeight="1">
      <c r="A197" s="7" t="s">
        <v>425</v>
      </c>
      <c r="B197" s="7" t="s">
        <v>426</v>
      </c>
      <c r="C197" s="9">
        <v>0.0</v>
      </c>
    </row>
    <row r="198" ht="13.5" customHeight="1">
      <c r="A198" s="7" t="s">
        <v>427</v>
      </c>
      <c r="B198" s="7" t="s">
        <v>428</v>
      </c>
      <c r="C198" s="9">
        <v>37.91375362</v>
      </c>
    </row>
    <row r="199" ht="13.5" customHeight="1">
      <c r="A199" s="7" t="s">
        <v>429</v>
      </c>
      <c r="B199" s="7" t="s">
        <v>430</v>
      </c>
      <c r="C199" s="9">
        <v>94.34657332</v>
      </c>
    </row>
    <row r="200" ht="13.5" customHeight="1">
      <c r="A200" s="7" t="s">
        <v>431</v>
      </c>
      <c r="B200" s="7" t="s">
        <v>432</v>
      </c>
      <c r="C200" s="9">
        <v>72.01347385</v>
      </c>
    </row>
    <row r="201" ht="13.5" customHeight="1">
      <c r="A201" s="7" t="s">
        <v>433</v>
      </c>
      <c r="B201" s="7" t="s">
        <v>434</v>
      </c>
      <c r="C201" s="9">
        <v>81.03082153</v>
      </c>
    </row>
    <row r="202" ht="13.5" customHeight="1">
      <c r="A202" s="7" t="s">
        <v>435</v>
      </c>
      <c r="B202" s="7" t="s">
        <v>436</v>
      </c>
      <c r="C202" s="9">
        <v>87.76312603</v>
      </c>
    </row>
    <row r="203" ht="13.5" customHeight="1">
      <c r="A203" s="7" t="s">
        <v>437</v>
      </c>
      <c r="B203" s="7" t="s">
        <v>438</v>
      </c>
      <c r="C203" s="9">
        <v>60.40226956</v>
      </c>
    </row>
    <row r="204" ht="13.5" customHeight="1">
      <c r="A204" s="7" t="s">
        <v>439</v>
      </c>
      <c r="B204" s="7" t="s">
        <v>440</v>
      </c>
      <c r="C204" s="9">
        <v>41.17592293</v>
      </c>
    </row>
    <row r="205" ht="13.5" customHeight="1">
      <c r="A205" s="7" t="s">
        <v>441</v>
      </c>
      <c r="B205" s="7" t="s">
        <v>442</v>
      </c>
      <c r="C205" s="9">
        <v>0.0</v>
      </c>
    </row>
    <row r="206" ht="13.5" customHeight="1">
      <c r="A206" s="7" t="s">
        <v>443</v>
      </c>
      <c r="B206" s="7" t="s">
        <v>444</v>
      </c>
      <c r="C206" s="9">
        <v>71.29980584</v>
      </c>
    </row>
    <row r="207" ht="13.5" customHeight="1">
      <c r="A207" s="7" t="s">
        <v>445</v>
      </c>
      <c r="B207" s="7" t="s">
        <v>446</v>
      </c>
      <c r="C207" s="9">
        <v>76.88028188</v>
      </c>
    </row>
    <row r="208" ht="13.5" customHeight="1">
      <c r="A208" s="7" t="s">
        <v>447</v>
      </c>
      <c r="B208" s="7" t="s">
        <v>448</v>
      </c>
      <c r="C208" s="9">
        <v>12.76364534</v>
      </c>
    </row>
    <row r="209" ht="13.5" customHeight="1">
      <c r="A209" s="7" t="s">
        <v>449</v>
      </c>
      <c r="B209" s="7" t="s">
        <v>450</v>
      </c>
      <c r="C209" s="9">
        <v>81.19329059</v>
      </c>
    </row>
    <row r="210" ht="13.5" customHeight="1">
      <c r="A210" s="7" t="s">
        <v>451</v>
      </c>
      <c r="B210" s="7" t="s">
        <v>452</v>
      </c>
      <c r="C210" s="9">
        <v>71.55278438</v>
      </c>
    </row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30.0"/>
    <col customWidth="1" min="3" max="3" width="18.0"/>
    <col customWidth="1" min="4" max="26" width="8.86"/>
  </cols>
  <sheetData>
    <row r="1" ht="15.75" customHeight="1">
      <c r="A1" s="6" t="s">
        <v>30</v>
      </c>
      <c r="B1" s="6" t="s">
        <v>31</v>
      </c>
      <c r="C1" s="6" t="s">
        <v>456</v>
      </c>
    </row>
    <row r="2" ht="13.5" customHeight="1">
      <c r="A2" s="7" t="s">
        <v>33</v>
      </c>
      <c r="B2" s="7" t="s">
        <v>34</v>
      </c>
      <c r="C2" s="9">
        <v>39.7653719919693</v>
      </c>
    </row>
    <row r="3" ht="13.5" customHeight="1">
      <c r="A3" s="7" t="s">
        <v>35</v>
      </c>
      <c r="B3" s="7" t="s">
        <v>36</v>
      </c>
      <c r="C3" s="9">
        <v>85.7615537822748</v>
      </c>
    </row>
    <row r="4" ht="13.5" customHeight="1">
      <c r="A4" s="7" t="s">
        <v>37</v>
      </c>
      <c r="B4" s="7" t="s">
        <v>38</v>
      </c>
      <c r="C4" s="9">
        <v>100.0</v>
      </c>
    </row>
    <row r="5" ht="13.5" customHeight="1">
      <c r="A5" s="7" t="s">
        <v>39</v>
      </c>
      <c r="B5" s="7" t="s">
        <v>40</v>
      </c>
      <c r="C5" s="9">
        <v>41.7479316990144</v>
      </c>
    </row>
    <row r="6" ht="13.5" customHeight="1">
      <c r="A6" s="7" t="s">
        <v>41</v>
      </c>
      <c r="B6" s="7" t="s">
        <v>42</v>
      </c>
      <c r="C6" s="9">
        <v>100.0</v>
      </c>
    </row>
    <row r="7" ht="13.5" customHeight="1">
      <c r="A7" s="7" t="s">
        <v>43</v>
      </c>
      <c r="B7" s="7" t="s">
        <v>44</v>
      </c>
      <c r="C7" s="9">
        <v>40.1734079755723</v>
      </c>
    </row>
    <row r="8" ht="13.5" customHeight="1">
      <c r="A8" s="7" t="s">
        <v>45</v>
      </c>
      <c r="B8" s="7" t="s">
        <v>46</v>
      </c>
      <c r="C8" s="9">
        <v>100.0</v>
      </c>
    </row>
    <row r="9" ht="13.5" customHeight="1">
      <c r="A9" s="7" t="s">
        <v>47</v>
      </c>
      <c r="B9" s="7" t="s">
        <v>48</v>
      </c>
      <c r="C9" s="9">
        <v>46.5907958979981</v>
      </c>
    </row>
    <row r="10" ht="13.5" customHeight="1">
      <c r="A10" s="7" t="s">
        <v>49</v>
      </c>
      <c r="B10" s="7" t="s">
        <v>50</v>
      </c>
      <c r="C10" s="9">
        <v>35.6361329294362</v>
      </c>
    </row>
    <row r="11" ht="13.5" customHeight="1">
      <c r="A11" s="7" t="s">
        <v>51</v>
      </c>
      <c r="B11" s="7" t="s">
        <v>52</v>
      </c>
      <c r="C11" s="9">
        <v>100.0</v>
      </c>
    </row>
    <row r="12" ht="13.5" customHeight="1">
      <c r="A12" s="7" t="s">
        <v>53</v>
      </c>
      <c r="B12" s="7" t="s">
        <v>54</v>
      </c>
      <c r="C12" s="9">
        <v>59.8993260482428</v>
      </c>
    </row>
    <row r="13" ht="13.5" customHeight="1">
      <c r="A13" s="7" t="s">
        <v>55</v>
      </c>
      <c r="B13" s="7" t="s">
        <v>56</v>
      </c>
      <c r="C13" s="9">
        <v>100.0</v>
      </c>
    </row>
    <row r="14" ht="13.5" customHeight="1">
      <c r="A14" s="7" t="s">
        <v>407</v>
      </c>
      <c r="B14" s="7" t="s">
        <v>457</v>
      </c>
      <c r="C14" s="9">
        <v>41.608835550613</v>
      </c>
    </row>
    <row r="15" ht="13.5" customHeight="1">
      <c r="A15" s="7" t="s">
        <v>57</v>
      </c>
      <c r="B15" s="7" t="s">
        <v>58</v>
      </c>
      <c r="C15" s="9">
        <v>100.0</v>
      </c>
    </row>
    <row r="16" ht="13.5" customHeight="1">
      <c r="A16" s="7" t="s">
        <v>59</v>
      </c>
      <c r="B16" s="7" t="s">
        <v>60</v>
      </c>
      <c r="C16" s="9">
        <v>62.4519488292087</v>
      </c>
    </row>
    <row r="17" ht="13.5" customHeight="1">
      <c r="A17" s="7" t="s">
        <v>61</v>
      </c>
      <c r="B17" s="7" t="s">
        <v>62</v>
      </c>
      <c r="C17" s="9">
        <v>49.7838915543377</v>
      </c>
    </row>
    <row r="18" ht="13.5" customHeight="1">
      <c r="A18" s="7" t="s">
        <v>63</v>
      </c>
      <c r="B18" s="7" t="s">
        <v>64</v>
      </c>
      <c r="C18" s="9">
        <v>56.1217305541521</v>
      </c>
    </row>
    <row r="19" ht="13.5" customHeight="1">
      <c r="A19" s="7" t="s">
        <v>65</v>
      </c>
      <c r="B19" s="7" t="s">
        <v>66</v>
      </c>
      <c r="C19" s="9">
        <v>53.0478847362197</v>
      </c>
    </row>
    <row r="20" ht="13.5" customHeight="1">
      <c r="A20" s="7" t="s">
        <v>67</v>
      </c>
      <c r="B20" s="7" t="s">
        <v>68</v>
      </c>
      <c r="C20" s="9">
        <v>54.2175135649105</v>
      </c>
    </row>
    <row r="21" ht="13.5" customHeight="1">
      <c r="A21" s="7" t="s">
        <v>69</v>
      </c>
      <c r="B21" s="7" t="s">
        <v>70</v>
      </c>
      <c r="C21" s="9">
        <v>37.5738819869525</v>
      </c>
    </row>
    <row r="22" ht="13.5" customHeight="1">
      <c r="A22" s="7" t="s">
        <v>71</v>
      </c>
      <c r="B22" s="7" t="s">
        <v>72</v>
      </c>
      <c r="C22" s="9">
        <v>42.2811715330861</v>
      </c>
    </row>
    <row r="23" ht="13.5" customHeight="1">
      <c r="A23" s="7" t="s">
        <v>73</v>
      </c>
      <c r="B23" s="7" t="s">
        <v>74</v>
      </c>
      <c r="C23" s="9">
        <v>76.4829196705527</v>
      </c>
    </row>
    <row r="24" ht="13.5" customHeight="1">
      <c r="A24" s="7" t="s">
        <v>75</v>
      </c>
      <c r="B24" s="7" t="s">
        <v>458</v>
      </c>
      <c r="C24" s="9">
        <v>100.0</v>
      </c>
    </row>
    <row r="25" ht="13.5" customHeight="1">
      <c r="A25" s="7" t="s">
        <v>77</v>
      </c>
      <c r="B25" s="7" t="s">
        <v>459</v>
      </c>
      <c r="C25" s="9">
        <v>82.6573222045377</v>
      </c>
    </row>
    <row r="26" ht="13.5" customHeight="1">
      <c r="A26" s="7" t="s">
        <v>79</v>
      </c>
      <c r="B26" s="7" t="s">
        <v>80</v>
      </c>
      <c r="C26" s="9">
        <v>78.1536856308319</v>
      </c>
    </row>
    <row r="27" ht="13.5" customHeight="1">
      <c r="A27" s="7" t="s">
        <v>81</v>
      </c>
      <c r="B27" s="7" t="s">
        <v>82</v>
      </c>
      <c r="C27" s="9">
        <v>100.0</v>
      </c>
    </row>
    <row r="28" ht="13.5" customHeight="1">
      <c r="A28" s="7" t="s">
        <v>85</v>
      </c>
      <c r="B28" s="7" t="s">
        <v>460</v>
      </c>
      <c r="C28" s="9">
        <v>100.0</v>
      </c>
    </row>
    <row r="29" ht="13.5" customHeight="1">
      <c r="A29" s="7" t="s">
        <v>87</v>
      </c>
      <c r="B29" s="7" t="s">
        <v>88</v>
      </c>
      <c r="C29" s="9">
        <v>72.9909638329033</v>
      </c>
    </row>
    <row r="30" ht="13.5" customHeight="1">
      <c r="A30" s="7" t="s">
        <v>89</v>
      </c>
      <c r="B30" s="7" t="s">
        <v>90</v>
      </c>
      <c r="C30" s="9">
        <v>35.1850310971961</v>
      </c>
    </row>
    <row r="31" ht="13.5" customHeight="1">
      <c r="A31" s="7" t="s">
        <v>93</v>
      </c>
      <c r="B31" s="7" t="s">
        <v>94</v>
      </c>
      <c r="C31" s="9">
        <v>40.1393985329312</v>
      </c>
    </row>
    <row r="32" ht="13.5" customHeight="1">
      <c r="A32" s="7" t="s">
        <v>95</v>
      </c>
      <c r="B32" s="7" t="s">
        <v>96</v>
      </c>
      <c r="C32" s="9">
        <v>47.8212588208467</v>
      </c>
    </row>
    <row r="33" ht="13.5" customHeight="1">
      <c r="A33" s="7" t="s">
        <v>97</v>
      </c>
      <c r="B33" s="7" t="s">
        <v>98</v>
      </c>
      <c r="C33" s="9">
        <v>47.7742708473822</v>
      </c>
    </row>
    <row r="34" ht="13.5" customHeight="1">
      <c r="A34" s="7" t="s">
        <v>99</v>
      </c>
      <c r="B34" s="7" t="s">
        <v>100</v>
      </c>
      <c r="C34" s="9">
        <v>100.0</v>
      </c>
    </row>
    <row r="35" ht="13.5" customHeight="1">
      <c r="A35" s="7" t="s">
        <v>101</v>
      </c>
      <c r="B35" s="7" t="s">
        <v>102</v>
      </c>
      <c r="C35" s="9">
        <v>100.0</v>
      </c>
    </row>
    <row r="36" ht="13.5" customHeight="1">
      <c r="A36" s="7" t="s">
        <v>103</v>
      </c>
      <c r="B36" s="7" t="s">
        <v>461</v>
      </c>
      <c r="C36" s="9">
        <v>36.3672966900065</v>
      </c>
    </row>
    <row r="37" ht="13.5" customHeight="1">
      <c r="A37" s="7" t="s">
        <v>105</v>
      </c>
      <c r="B37" s="7" t="s">
        <v>462</v>
      </c>
      <c r="C37" s="9">
        <v>34.5393619028944</v>
      </c>
    </row>
    <row r="38" ht="13.5" customHeight="1">
      <c r="A38" s="7" t="s">
        <v>107</v>
      </c>
      <c r="B38" s="7" t="s">
        <v>108</v>
      </c>
      <c r="C38" s="9">
        <v>100.0</v>
      </c>
    </row>
    <row r="39" ht="13.5" customHeight="1">
      <c r="A39" s="7" t="s">
        <v>109</v>
      </c>
      <c r="B39" s="7" t="s">
        <v>110</v>
      </c>
      <c r="C39" s="9">
        <v>53.9027565756135</v>
      </c>
    </row>
    <row r="40" ht="13.5" customHeight="1">
      <c r="A40" s="7" t="s">
        <v>111</v>
      </c>
      <c r="B40" s="7" t="s">
        <v>112</v>
      </c>
      <c r="C40" s="9">
        <v>86.7935685014475</v>
      </c>
    </row>
    <row r="41" ht="13.5" customHeight="1">
      <c r="A41" s="7" t="s">
        <v>203</v>
      </c>
      <c r="B41" s="7" t="s">
        <v>463</v>
      </c>
      <c r="C41" s="9">
        <v>42.5367658794128</v>
      </c>
    </row>
    <row r="42" ht="13.5" customHeight="1">
      <c r="A42" s="7" t="s">
        <v>257</v>
      </c>
      <c r="B42" s="7" t="s">
        <v>464</v>
      </c>
      <c r="C42" s="9">
        <v>33.1456559561215</v>
      </c>
    </row>
    <row r="43" ht="13.5" customHeight="1">
      <c r="A43" s="7" t="s">
        <v>113</v>
      </c>
      <c r="B43" s="7" t="s">
        <v>114</v>
      </c>
      <c r="C43" s="9">
        <v>100.0</v>
      </c>
    </row>
    <row r="44" ht="13.5" customHeight="1">
      <c r="A44" s="7" t="s">
        <v>115</v>
      </c>
      <c r="B44" s="7" t="s">
        <v>116</v>
      </c>
      <c r="C44" s="9">
        <v>36.6262926347333</v>
      </c>
    </row>
    <row r="45" ht="13.5" customHeight="1">
      <c r="A45" s="7" t="s">
        <v>117</v>
      </c>
      <c r="B45" s="7" t="s">
        <v>465</v>
      </c>
      <c r="C45" s="9">
        <v>100.0</v>
      </c>
    </row>
    <row r="46" ht="13.5" customHeight="1">
      <c r="A46" s="7" t="s">
        <v>123</v>
      </c>
      <c r="B46" s="7" t="s">
        <v>124</v>
      </c>
      <c r="C46" s="9">
        <v>50.3476849029474</v>
      </c>
    </row>
    <row r="47" ht="13.5" customHeight="1">
      <c r="A47" s="7" t="s">
        <v>127</v>
      </c>
      <c r="B47" s="7" t="s">
        <v>128</v>
      </c>
      <c r="C47" s="9">
        <v>60.7519359748424</v>
      </c>
    </row>
    <row r="48" ht="13.5" customHeight="1">
      <c r="A48" s="7" t="s">
        <v>129</v>
      </c>
      <c r="B48" s="7" t="s">
        <v>130</v>
      </c>
      <c r="C48" s="9">
        <v>63.4771878288581</v>
      </c>
    </row>
    <row r="49" ht="13.5" customHeight="1">
      <c r="A49" s="7" t="s">
        <v>131</v>
      </c>
      <c r="B49" s="7" t="s">
        <v>132</v>
      </c>
      <c r="C49" s="9">
        <v>43.1214184157266</v>
      </c>
    </row>
    <row r="50" ht="13.5" customHeight="1">
      <c r="A50" s="7" t="s">
        <v>133</v>
      </c>
      <c r="B50" s="7" t="s">
        <v>134</v>
      </c>
      <c r="C50" s="9">
        <v>74.3325780135691</v>
      </c>
    </row>
    <row r="51" ht="13.5" customHeight="1">
      <c r="A51" s="7" t="s">
        <v>125</v>
      </c>
      <c r="B51" s="7" t="s">
        <v>466</v>
      </c>
      <c r="C51" s="9">
        <v>76.8798621300089</v>
      </c>
    </row>
    <row r="52" ht="13.5" customHeight="1">
      <c r="A52" s="7" t="s">
        <v>309</v>
      </c>
      <c r="B52" s="7" t="s">
        <v>467</v>
      </c>
      <c r="C52" s="9">
        <v>95.5075409947978</v>
      </c>
    </row>
    <row r="53" ht="13.5" customHeight="1">
      <c r="A53" s="7" t="s">
        <v>119</v>
      </c>
      <c r="B53" s="7" t="s">
        <v>468</v>
      </c>
      <c r="C53" s="9">
        <v>85.4847996742268</v>
      </c>
    </row>
    <row r="54" ht="13.5" customHeight="1">
      <c r="A54" s="7" t="s">
        <v>135</v>
      </c>
      <c r="B54" s="7" t="s">
        <v>136</v>
      </c>
      <c r="C54" s="9">
        <v>79.5295968290885</v>
      </c>
    </row>
    <row r="55" ht="13.5" customHeight="1">
      <c r="A55" s="7" t="s">
        <v>137</v>
      </c>
      <c r="B55" s="7" t="s">
        <v>138</v>
      </c>
      <c r="C55" s="9">
        <v>29.3781072889673</v>
      </c>
    </row>
    <row r="56" ht="13.5" customHeight="1">
      <c r="A56" s="7" t="s">
        <v>139</v>
      </c>
      <c r="B56" s="7" t="s">
        <v>140</v>
      </c>
      <c r="C56" s="9">
        <v>41.1032087082739</v>
      </c>
    </row>
    <row r="57" ht="13.5" customHeight="1">
      <c r="A57" s="7" t="s">
        <v>141</v>
      </c>
      <c r="B57" s="7" t="s">
        <v>469</v>
      </c>
      <c r="C57" s="9">
        <v>38.1316429276058</v>
      </c>
    </row>
    <row r="58" ht="13.5" customHeight="1">
      <c r="A58" s="7" t="s">
        <v>143</v>
      </c>
      <c r="B58" s="7" t="s">
        <v>144</v>
      </c>
      <c r="C58" s="9">
        <v>100.0</v>
      </c>
    </row>
    <row r="59" ht="13.5" customHeight="1">
      <c r="A59" s="7" t="s">
        <v>145</v>
      </c>
      <c r="B59" s="7" t="s">
        <v>146</v>
      </c>
      <c r="C59" s="9">
        <v>83.9659799062284</v>
      </c>
    </row>
    <row r="60" ht="13.5" customHeight="1">
      <c r="A60" s="7" t="s">
        <v>147</v>
      </c>
      <c r="B60" s="7" t="s">
        <v>148</v>
      </c>
      <c r="C60" s="9">
        <v>43.6756485305457</v>
      </c>
    </row>
    <row r="61" ht="13.5" customHeight="1">
      <c r="A61" s="7" t="s">
        <v>149</v>
      </c>
      <c r="B61" s="7" t="s">
        <v>150</v>
      </c>
      <c r="C61" s="9">
        <v>100.0</v>
      </c>
    </row>
    <row r="62" ht="13.5" customHeight="1">
      <c r="A62" s="7" t="s">
        <v>151</v>
      </c>
      <c r="B62" s="7" t="s">
        <v>152</v>
      </c>
      <c r="C62" s="9">
        <v>36.5307721304834</v>
      </c>
    </row>
    <row r="63" ht="13.5" customHeight="1">
      <c r="A63" s="7" t="s">
        <v>153</v>
      </c>
      <c r="B63" s="7" t="s">
        <v>154</v>
      </c>
      <c r="C63" s="9">
        <v>57.9042242186479</v>
      </c>
    </row>
    <row r="64" ht="13.5" customHeight="1">
      <c r="A64" s="7" t="s">
        <v>155</v>
      </c>
      <c r="B64" s="7" t="s">
        <v>156</v>
      </c>
      <c r="C64" s="9">
        <v>61.9960981451985</v>
      </c>
    </row>
    <row r="65" ht="13.5" customHeight="1">
      <c r="A65" s="7" t="s">
        <v>157</v>
      </c>
      <c r="B65" s="7" t="s">
        <v>158</v>
      </c>
      <c r="C65" s="9">
        <v>51.5770239048462</v>
      </c>
    </row>
    <row r="66" ht="13.5" customHeight="1">
      <c r="A66" s="7" t="s">
        <v>454</v>
      </c>
      <c r="B66" s="7" t="s">
        <v>470</v>
      </c>
      <c r="C66" s="9">
        <v>48.5009756848208</v>
      </c>
    </row>
    <row r="67" ht="13.5" customHeight="1">
      <c r="A67" s="7" t="s">
        <v>163</v>
      </c>
      <c r="B67" s="7" t="s">
        <v>164</v>
      </c>
      <c r="C67" s="9">
        <v>45.77572570825</v>
      </c>
    </row>
    <row r="68" ht="13.5" customHeight="1">
      <c r="A68" s="7" t="s">
        <v>165</v>
      </c>
      <c r="B68" s="7" t="s">
        <v>166</v>
      </c>
      <c r="C68" s="9">
        <v>75.3101880007525</v>
      </c>
    </row>
    <row r="69" ht="13.5" customHeight="1">
      <c r="A69" s="7" t="s">
        <v>167</v>
      </c>
      <c r="B69" s="7" t="s">
        <v>168</v>
      </c>
      <c r="C69" s="9">
        <v>72.6390892006448</v>
      </c>
    </row>
    <row r="70" ht="13.5" customHeight="1">
      <c r="A70" s="7" t="s">
        <v>169</v>
      </c>
      <c r="B70" s="7" t="s">
        <v>170</v>
      </c>
      <c r="C70" s="9">
        <v>48.0871593008058</v>
      </c>
    </row>
    <row r="71" ht="13.5" customHeight="1">
      <c r="A71" s="7" t="s">
        <v>171</v>
      </c>
      <c r="B71" s="7" t="s">
        <v>172</v>
      </c>
      <c r="C71" s="9">
        <v>100.0</v>
      </c>
    </row>
    <row r="72" ht="13.5" customHeight="1">
      <c r="A72" s="7" t="s">
        <v>173</v>
      </c>
      <c r="B72" s="7" t="s">
        <v>471</v>
      </c>
      <c r="C72" s="9">
        <v>40.9657561633232</v>
      </c>
    </row>
    <row r="73" ht="13.5" customHeight="1">
      <c r="A73" s="7" t="s">
        <v>175</v>
      </c>
      <c r="B73" s="7" t="s">
        <v>176</v>
      </c>
      <c r="C73" s="9">
        <v>49.9701008219806</v>
      </c>
    </row>
    <row r="74" ht="13.5" customHeight="1">
      <c r="A74" s="7" t="s">
        <v>177</v>
      </c>
      <c r="B74" s="7" t="s">
        <v>178</v>
      </c>
      <c r="C74" s="9">
        <v>60.8571006192576</v>
      </c>
    </row>
    <row r="75" ht="13.5" customHeight="1">
      <c r="A75" s="7" t="s">
        <v>179</v>
      </c>
      <c r="B75" s="7" t="s">
        <v>180</v>
      </c>
      <c r="C75" s="9">
        <v>100.0</v>
      </c>
    </row>
    <row r="76" ht="13.5" customHeight="1">
      <c r="A76" s="7" t="s">
        <v>183</v>
      </c>
      <c r="B76" s="7" t="s">
        <v>184</v>
      </c>
      <c r="C76" s="9">
        <v>48.967701428919</v>
      </c>
    </row>
    <row r="77" ht="13.5" customHeight="1">
      <c r="A77" s="7" t="s">
        <v>185</v>
      </c>
      <c r="B77" s="7" t="s">
        <v>186</v>
      </c>
      <c r="C77" s="9">
        <v>52.5951189287257</v>
      </c>
    </row>
    <row r="78" ht="13.5" customHeight="1">
      <c r="A78" s="7" t="s">
        <v>187</v>
      </c>
      <c r="B78" s="7" t="s">
        <v>188</v>
      </c>
      <c r="C78" s="9">
        <v>31.5889326600044</v>
      </c>
    </row>
    <row r="79" ht="13.5" customHeight="1">
      <c r="A79" s="7" t="s">
        <v>189</v>
      </c>
      <c r="B79" s="7" t="s">
        <v>190</v>
      </c>
      <c r="C79" s="9">
        <v>46.728170664026</v>
      </c>
    </row>
    <row r="80" ht="13.5" customHeight="1">
      <c r="A80" s="7" t="s">
        <v>191</v>
      </c>
      <c r="B80" s="7" t="s">
        <v>192</v>
      </c>
      <c r="C80" s="9">
        <v>45.0832694367956</v>
      </c>
    </row>
    <row r="81" ht="13.5" customHeight="1">
      <c r="A81" s="7" t="s">
        <v>193</v>
      </c>
      <c r="B81" s="7" t="s">
        <v>194</v>
      </c>
      <c r="C81" s="9">
        <v>47.0416356640045</v>
      </c>
    </row>
    <row r="82" ht="13.5" customHeight="1">
      <c r="A82" s="7" t="s">
        <v>195</v>
      </c>
      <c r="B82" s="7" t="s">
        <v>196</v>
      </c>
      <c r="C82" s="9">
        <v>34.1794145193148</v>
      </c>
    </row>
    <row r="83" ht="13.5" customHeight="1">
      <c r="A83" s="7" t="s">
        <v>197</v>
      </c>
      <c r="B83" s="7" t="s">
        <v>198</v>
      </c>
      <c r="C83" s="9">
        <v>100.0</v>
      </c>
    </row>
    <row r="84" ht="13.5" customHeight="1">
      <c r="A84" s="7" t="s">
        <v>199</v>
      </c>
      <c r="B84" s="7" t="s">
        <v>200</v>
      </c>
      <c r="C84" s="9">
        <v>24.9972856385386</v>
      </c>
    </row>
    <row r="85" ht="13.5" customHeight="1">
      <c r="A85" s="7" t="s">
        <v>201</v>
      </c>
      <c r="B85" s="7" t="s">
        <v>202</v>
      </c>
      <c r="C85" s="9">
        <v>37.7862706254877</v>
      </c>
    </row>
    <row r="86" ht="13.5" customHeight="1">
      <c r="A86" s="7" t="s">
        <v>205</v>
      </c>
      <c r="B86" s="7" t="s">
        <v>206</v>
      </c>
      <c r="C86" s="9">
        <v>65.5114587883994</v>
      </c>
    </row>
    <row r="87" ht="13.5" customHeight="1">
      <c r="A87" s="7" t="s">
        <v>207</v>
      </c>
      <c r="B87" s="7" t="s">
        <v>208</v>
      </c>
      <c r="C87" s="9">
        <v>77.9560517815213</v>
      </c>
    </row>
    <row r="88" ht="13.5" customHeight="1">
      <c r="A88" s="7" t="s">
        <v>209</v>
      </c>
      <c r="B88" s="7" t="s">
        <v>210</v>
      </c>
      <c r="C88" s="9">
        <v>75.5225151755384</v>
      </c>
    </row>
    <row r="89" ht="13.5" customHeight="1">
      <c r="A89" s="7" t="s">
        <v>211</v>
      </c>
      <c r="B89" s="7" t="s">
        <v>212</v>
      </c>
      <c r="C89" s="9">
        <v>100.0</v>
      </c>
    </row>
    <row r="90" ht="13.5" customHeight="1">
      <c r="A90" s="7" t="s">
        <v>213</v>
      </c>
      <c r="B90" s="7" t="s">
        <v>214</v>
      </c>
      <c r="C90" s="9">
        <v>100.0</v>
      </c>
    </row>
    <row r="91" ht="13.5" customHeight="1">
      <c r="A91" s="7" t="s">
        <v>215</v>
      </c>
      <c r="B91" s="7" t="s">
        <v>216</v>
      </c>
      <c r="C91" s="9">
        <v>100.0</v>
      </c>
    </row>
    <row r="92" ht="13.5" customHeight="1">
      <c r="A92" s="7" t="s">
        <v>217</v>
      </c>
      <c r="B92" s="7" t="s">
        <v>218</v>
      </c>
      <c r="C92" s="9">
        <v>53.8042922895389</v>
      </c>
    </row>
    <row r="93" ht="13.5" customHeight="1">
      <c r="A93" s="7" t="s">
        <v>219</v>
      </c>
      <c r="B93" s="7" t="s">
        <v>220</v>
      </c>
      <c r="C93" s="9">
        <v>99.6231060642891</v>
      </c>
    </row>
    <row r="94" ht="13.5" customHeight="1">
      <c r="A94" s="7" t="s">
        <v>221</v>
      </c>
      <c r="B94" s="7" t="s">
        <v>222</v>
      </c>
      <c r="C94" s="9">
        <v>53.0808390366552</v>
      </c>
    </row>
    <row r="95" ht="13.5" customHeight="1">
      <c r="A95" s="7" t="s">
        <v>223</v>
      </c>
      <c r="B95" s="7" t="s">
        <v>224</v>
      </c>
      <c r="C95" s="9">
        <v>37.5991660155646</v>
      </c>
    </row>
    <row r="96" ht="13.5" customHeight="1">
      <c r="A96" s="7" t="s">
        <v>225</v>
      </c>
      <c r="B96" s="7" t="s">
        <v>226</v>
      </c>
      <c r="C96" s="9">
        <v>55.2414924086653</v>
      </c>
    </row>
    <row r="97" ht="13.5" customHeight="1">
      <c r="A97" s="7" t="s">
        <v>227</v>
      </c>
      <c r="B97" s="7" t="s">
        <v>228</v>
      </c>
      <c r="C97" s="9">
        <v>42.3950887820361</v>
      </c>
    </row>
    <row r="98" ht="13.5" customHeight="1">
      <c r="A98" s="7" t="s">
        <v>229</v>
      </c>
      <c r="B98" s="7" t="s">
        <v>230</v>
      </c>
      <c r="C98" s="9">
        <v>100.0</v>
      </c>
    </row>
    <row r="99" ht="13.5" customHeight="1">
      <c r="A99" s="7" t="s">
        <v>231</v>
      </c>
      <c r="B99" s="7" t="s">
        <v>232</v>
      </c>
      <c r="C99" s="9">
        <v>46.4846711596842</v>
      </c>
    </row>
    <row r="100" ht="13.5" customHeight="1">
      <c r="A100" s="7" t="s">
        <v>233</v>
      </c>
      <c r="B100" s="7" t="s">
        <v>234</v>
      </c>
      <c r="C100" s="9">
        <v>45.3174611207778</v>
      </c>
    </row>
    <row r="101" ht="13.5" customHeight="1">
      <c r="A101" s="7" t="s">
        <v>237</v>
      </c>
      <c r="B101" s="7" t="s">
        <v>238</v>
      </c>
      <c r="C101" s="9">
        <v>100.0</v>
      </c>
    </row>
    <row r="102" ht="13.5" customHeight="1">
      <c r="A102" s="7" t="s">
        <v>239</v>
      </c>
      <c r="B102" s="7" t="s">
        <v>240</v>
      </c>
      <c r="C102" s="9">
        <v>77.9589473760493</v>
      </c>
    </row>
    <row r="103" ht="13.5" customHeight="1">
      <c r="A103" s="7" t="s">
        <v>241</v>
      </c>
      <c r="B103" s="7" t="s">
        <v>472</v>
      </c>
      <c r="C103" s="9">
        <v>100.0</v>
      </c>
    </row>
    <row r="104" ht="13.5" customHeight="1">
      <c r="A104" s="7" t="s">
        <v>243</v>
      </c>
      <c r="B104" s="7" t="s">
        <v>244</v>
      </c>
      <c r="C104" s="9">
        <v>55.2617799154726</v>
      </c>
    </row>
    <row r="105" ht="13.5" customHeight="1">
      <c r="A105" s="7" t="s">
        <v>245</v>
      </c>
      <c r="B105" s="7" t="s">
        <v>246</v>
      </c>
      <c r="C105" s="9">
        <v>38.1292782956871</v>
      </c>
    </row>
    <row r="106" ht="13.5" customHeight="1">
      <c r="A106" s="7" t="s">
        <v>247</v>
      </c>
      <c r="B106" s="7" t="s">
        <v>248</v>
      </c>
      <c r="C106" s="9">
        <v>24.5636877849985</v>
      </c>
    </row>
    <row r="107" ht="13.5" customHeight="1">
      <c r="A107" s="7" t="s">
        <v>249</v>
      </c>
      <c r="B107" s="7" t="s">
        <v>250</v>
      </c>
      <c r="C107" s="9">
        <v>40.6352946569328</v>
      </c>
    </row>
    <row r="108" ht="13.5" customHeight="1">
      <c r="A108" s="7" t="s">
        <v>251</v>
      </c>
      <c r="B108" s="7" t="s">
        <v>252</v>
      </c>
      <c r="C108" s="9">
        <v>100.0</v>
      </c>
    </row>
    <row r="109" ht="13.5" customHeight="1">
      <c r="A109" s="7" t="s">
        <v>253</v>
      </c>
      <c r="B109" s="7" t="s">
        <v>254</v>
      </c>
      <c r="C109" s="9">
        <v>53.3196219239586</v>
      </c>
    </row>
    <row r="110" ht="13.5" customHeight="1">
      <c r="A110" s="7" t="s">
        <v>255</v>
      </c>
      <c r="B110" s="7" t="s">
        <v>256</v>
      </c>
      <c r="C110" s="9">
        <v>44.1548008227119</v>
      </c>
    </row>
    <row r="111" ht="13.5" customHeight="1">
      <c r="A111" s="7" t="s">
        <v>259</v>
      </c>
      <c r="B111" s="7" t="s">
        <v>260</v>
      </c>
      <c r="C111" s="9">
        <v>39.8853627405346</v>
      </c>
    </row>
    <row r="112" ht="13.5" customHeight="1">
      <c r="A112" s="7" t="s">
        <v>261</v>
      </c>
      <c r="B112" s="7" t="s">
        <v>262</v>
      </c>
      <c r="C112" s="9">
        <v>55.0787642318862</v>
      </c>
    </row>
    <row r="113" ht="13.5" customHeight="1">
      <c r="A113" s="7" t="s">
        <v>263</v>
      </c>
      <c r="B113" s="7" t="s">
        <v>264</v>
      </c>
      <c r="C113" s="9">
        <v>100.0</v>
      </c>
    </row>
    <row r="114" ht="13.5" customHeight="1">
      <c r="A114" s="7" t="s">
        <v>265</v>
      </c>
      <c r="B114" s="7" t="s">
        <v>266</v>
      </c>
      <c r="C114" s="9">
        <v>42.6206916215659</v>
      </c>
    </row>
    <row r="115" ht="13.5" customHeight="1">
      <c r="A115" s="7" t="s">
        <v>267</v>
      </c>
      <c r="B115" s="7" t="s">
        <v>268</v>
      </c>
      <c r="C115" s="9">
        <v>29.1465252556415</v>
      </c>
    </row>
    <row r="116" ht="13.5" customHeight="1">
      <c r="A116" s="7" t="s">
        <v>269</v>
      </c>
      <c r="B116" s="7" t="s">
        <v>270</v>
      </c>
      <c r="C116" s="9">
        <v>46.7157524448601</v>
      </c>
    </row>
    <row r="117" ht="13.5" customHeight="1">
      <c r="A117" s="7" t="s">
        <v>271</v>
      </c>
      <c r="B117" s="7" t="s">
        <v>272</v>
      </c>
      <c r="C117" s="9">
        <v>35.8870068714684</v>
      </c>
    </row>
    <row r="118" ht="13.5" customHeight="1">
      <c r="A118" s="7" t="s">
        <v>273</v>
      </c>
      <c r="B118" s="7" t="s">
        <v>274</v>
      </c>
      <c r="C118" s="9">
        <v>46.5430685745478</v>
      </c>
    </row>
    <row r="119" ht="13.5" customHeight="1">
      <c r="A119" s="7" t="s">
        <v>275</v>
      </c>
      <c r="B119" s="7" t="s">
        <v>276</v>
      </c>
      <c r="C119" s="9">
        <v>81.8775389147102</v>
      </c>
    </row>
    <row r="120" ht="13.5" customHeight="1">
      <c r="A120" s="7" t="s">
        <v>279</v>
      </c>
      <c r="B120" s="7" t="s">
        <v>280</v>
      </c>
      <c r="C120" s="9">
        <v>100.0</v>
      </c>
    </row>
    <row r="121" ht="13.5" customHeight="1">
      <c r="A121" s="7" t="s">
        <v>281</v>
      </c>
      <c r="B121" s="7" t="s">
        <v>282</v>
      </c>
      <c r="C121" s="9">
        <v>76.6731004276405</v>
      </c>
    </row>
    <row r="122" ht="13.5" customHeight="1">
      <c r="A122" s="7" t="s">
        <v>285</v>
      </c>
      <c r="B122" s="7" t="s">
        <v>286</v>
      </c>
      <c r="C122" s="9">
        <v>44.1237368010451</v>
      </c>
    </row>
    <row r="123" ht="13.5" customHeight="1">
      <c r="A123" s="7" t="s">
        <v>287</v>
      </c>
      <c r="B123" s="7" t="s">
        <v>288</v>
      </c>
      <c r="C123" s="9">
        <v>100.0</v>
      </c>
    </row>
    <row r="124" ht="13.5" customHeight="1">
      <c r="A124" s="7" t="s">
        <v>91</v>
      </c>
      <c r="B124" s="7" t="s">
        <v>473</v>
      </c>
      <c r="C124" s="9">
        <v>100.0</v>
      </c>
    </row>
    <row r="125" ht="13.5" customHeight="1">
      <c r="A125" s="7" t="s">
        <v>289</v>
      </c>
      <c r="B125" s="7" t="s">
        <v>290</v>
      </c>
      <c r="C125" s="9">
        <v>51.3761009362791</v>
      </c>
    </row>
    <row r="126" ht="13.5" customHeight="1">
      <c r="A126" s="7" t="s">
        <v>291</v>
      </c>
      <c r="B126" s="7" t="s">
        <v>292</v>
      </c>
      <c r="C126" s="9">
        <v>39.2831903385014</v>
      </c>
    </row>
    <row r="127" ht="13.5" customHeight="1">
      <c r="A127" s="7" t="s">
        <v>293</v>
      </c>
      <c r="B127" s="7" t="s">
        <v>294</v>
      </c>
      <c r="C127" s="9">
        <v>38.8202808656692</v>
      </c>
    </row>
    <row r="128" ht="13.5" customHeight="1">
      <c r="A128" s="7" t="s">
        <v>295</v>
      </c>
      <c r="B128" s="7" t="s">
        <v>296</v>
      </c>
      <c r="C128" s="9">
        <v>58.2090714258842</v>
      </c>
    </row>
    <row r="129" ht="13.5" customHeight="1">
      <c r="A129" s="7" t="s">
        <v>297</v>
      </c>
      <c r="B129" s="7" t="s">
        <v>298</v>
      </c>
      <c r="C129" s="9">
        <v>44.3684752368965</v>
      </c>
    </row>
    <row r="130" ht="13.5" customHeight="1">
      <c r="A130" s="7" t="s">
        <v>299</v>
      </c>
      <c r="B130" s="7" t="s">
        <v>300</v>
      </c>
      <c r="C130" s="9">
        <v>74.5433310852798</v>
      </c>
    </row>
    <row r="131" ht="13.5" customHeight="1">
      <c r="A131" s="7" t="s">
        <v>301</v>
      </c>
      <c r="B131" s="7" t="s">
        <v>302</v>
      </c>
      <c r="C131" s="9">
        <v>42.4754148268113</v>
      </c>
    </row>
    <row r="132" ht="13.5" customHeight="1">
      <c r="A132" s="7" t="s">
        <v>303</v>
      </c>
      <c r="B132" s="7" t="s">
        <v>304</v>
      </c>
      <c r="C132" s="9">
        <v>100.0</v>
      </c>
    </row>
    <row r="133" ht="13.5" customHeight="1">
      <c r="A133" s="7" t="s">
        <v>305</v>
      </c>
      <c r="B133" s="7" t="s">
        <v>306</v>
      </c>
      <c r="C133" s="9">
        <v>100.0</v>
      </c>
    </row>
    <row r="134" ht="13.5" customHeight="1">
      <c r="A134" s="7" t="s">
        <v>311</v>
      </c>
      <c r="B134" s="7" t="s">
        <v>312</v>
      </c>
      <c r="C134" s="9">
        <v>56.4056710947356</v>
      </c>
    </row>
    <row r="135" ht="13.5" customHeight="1">
      <c r="A135" s="7" t="s">
        <v>313</v>
      </c>
      <c r="B135" s="7" t="s">
        <v>314</v>
      </c>
      <c r="C135" s="9">
        <v>100.0</v>
      </c>
    </row>
    <row r="136" ht="13.5" customHeight="1">
      <c r="A136" s="7" t="s">
        <v>315</v>
      </c>
      <c r="B136" s="7" t="s">
        <v>316</v>
      </c>
      <c r="C136" s="9">
        <v>100.0</v>
      </c>
    </row>
    <row r="137" ht="13.5" customHeight="1">
      <c r="A137" s="7" t="s">
        <v>317</v>
      </c>
      <c r="B137" s="7" t="s">
        <v>318</v>
      </c>
      <c r="C137" s="9">
        <v>72.1216147745913</v>
      </c>
    </row>
    <row r="138" ht="13.5" customHeight="1">
      <c r="A138" s="7" t="s">
        <v>321</v>
      </c>
      <c r="B138" s="7" t="s">
        <v>322</v>
      </c>
      <c r="C138" s="9">
        <v>45.6178835131961</v>
      </c>
    </row>
    <row r="139" ht="13.5" customHeight="1">
      <c r="A139" s="7" t="s">
        <v>323</v>
      </c>
      <c r="B139" s="7" t="s">
        <v>324</v>
      </c>
      <c r="C139" s="9">
        <v>100.0</v>
      </c>
    </row>
    <row r="140" ht="13.5" customHeight="1">
      <c r="A140" s="7" t="s">
        <v>325</v>
      </c>
      <c r="B140" s="7" t="s">
        <v>326</v>
      </c>
      <c r="C140" s="9">
        <v>100.0</v>
      </c>
    </row>
    <row r="141" ht="13.5" customHeight="1">
      <c r="A141" s="7" t="s">
        <v>327</v>
      </c>
      <c r="B141" s="7" t="s">
        <v>328</v>
      </c>
      <c r="C141" s="9">
        <v>96.0580530222885</v>
      </c>
    </row>
    <row r="142" ht="13.5" customHeight="1">
      <c r="A142" s="7" t="s">
        <v>329</v>
      </c>
      <c r="B142" s="7" t="s">
        <v>330</v>
      </c>
      <c r="C142" s="9">
        <v>54.5742112101539</v>
      </c>
    </row>
    <row r="143" ht="13.5" customHeight="1">
      <c r="A143" s="7" t="s">
        <v>331</v>
      </c>
      <c r="B143" s="7" t="s">
        <v>332</v>
      </c>
      <c r="C143" s="9">
        <v>71.2311800466518</v>
      </c>
    </row>
    <row r="144" ht="13.5" customHeight="1">
      <c r="A144" s="7" t="s">
        <v>333</v>
      </c>
      <c r="B144" s="7" t="s">
        <v>334</v>
      </c>
      <c r="C144" s="9">
        <v>56.0166245949782</v>
      </c>
    </row>
    <row r="145" ht="13.5" customHeight="1">
      <c r="A145" s="7" t="s">
        <v>337</v>
      </c>
      <c r="B145" s="7" t="s">
        <v>338</v>
      </c>
      <c r="C145" s="9">
        <v>100.0</v>
      </c>
    </row>
    <row r="146" ht="13.5" customHeight="1">
      <c r="A146" s="7" t="s">
        <v>381</v>
      </c>
      <c r="B146" s="7" t="s">
        <v>474</v>
      </c>
      <c r="C146" s="9">
        <v>55.9854506837962</v>
      </c>
    </row>
    <row r="147" ht="13.5" customHeight="1">
      <c r="A147" s="7" t="s">
        <v>277</v>
      </c>
      <c r="B147" s="7" t="s">
        <v>475</v>
      </c>
      <c r="C147" s="9">
        <v>37.5882466900028</v>
      </c>
    </row>
    <row r="148" ht="13.5" customHeight="1">
      <c r="A148" s="7" t="s">
        <v>339</v>
      </c>
      <c r="B148" s="7" t="s">
        <v>340</v>
      </c>
      <c r="C148" s="9">
        <v>82.3023305812618</v>
      </c>
    </row>
    <row r="149" ht="13.5" customHeight="1">
      <c r="A149" s="7" t="s">
        <v>341</v>
      </c>
      <c r="B149" s="7" t="s">
        <v>476</v>
      </c>
      <c r="C149" s="9">
        <v>100.0</v>
      </c>
    </row>
    <row r="150" ht="13.5" customHeight="1">
      <c r="A150" s="7" t="s">
        <v>343</v>
      </c>
      <c r="B150" s="7" t="s">
        <v>344</v>
      </c>
      <c r="C150" s="9">
        <v>50.2326309607348</v>
      </c>
    </row>
    <row r="151" ht="13.5" customHeight="1">
      <c r="A151" s="7" t="s">
        <v>347</v>
      </c>
      <c r="B151" s="7" t="s">
        <v>348</v>
      </c>
      <c r="C151" s="9">
        <v>43.5053757948904</v>
      </c>
    </row>
    <row r="152" ht="13.5" customHeight="1">
      <c r="A152" s="7" t="s">
        <v>349</v>
      </c>
      <c r="B152" s="7" t="s">
        <v>350</v>
      </c>
      <c r="C152" s="9">
        <v>32.5958770328586</v>
      </c>
    </row>
    <row r="153" ht="13.5" customHeight="1">
      <c r="A153" s="7" t="s">
        <v>353</v>
      </c>
      <c r="B153" s="7" t="s">
        <v>477</v>
      </c>
      <c r="C153" s="9">
        <v>43.2480054451618</v>
      </c>
    </row>
    <row r="154" ht="13.5" customHeight="1">
      <c r="A154" s="7" t="s">
        <v>355</v>
      </c>
      <c r="B154" s="7" t="s">
        <v>356</v>
      </c>
      <c r="C154" s="9">
        <v>40.4857090712705</v>
      </c>
    </row>
    <row r="155" ht="13.5" customHeight="1">
      <c r="A155" s="7" t="s">
        <v>357</v>
      </c>
      <c r="B155" s="7" t="s">
        <v>358</v>
      </c>
      <c r="C155" s="9">
        <v>29.5636101079553</v>
      </c>
    </row>
    <row r="156" ht="13.5" customHeight="1">
      <c r="A156" s="7" t="s">
        <v>359</v>
      </c>
      <c r="B156" s="7" t="s">
        <v>360</v>
      </c>
      <c r="C156" s="9">
        <v>100.0</v>
      </c>
    </row>
    <row r="157" ht="13.5" customHeight="1">
      <c r="A157" s="7" t="s">
        <v>361</v>
      </c>
      <c r="B157" s="7" t="s">
        <v>362</v>
      </c>
      <c r="C157" s="9">
        <v>44.3883093621283</v>
      </c>
    </row>
    <row r="158" ht="13.5" customHeight="1">
      <c r="A158" s="7" t="s">
        <v>363</v>
      </c>
      <c r="B158" s="7" t="s">
        <v>364</v>
      </c>
      <c r="C158" s="9">
        <v>71.4824988455505</v>
      </c>
    </row>
    <row r="159" ht="13.5" customHeight="1">
      <c r="A159" s="7" t="s">
        <v>365</v>
      </c>
      <c r="B159" s="7" t="s">
        <v>366</v>
      </c>
      <c r="C159" s="9">
        <v>34.5571866991687</v>
      </c>
    </row>
    <row r="160" ht="13.5" customHeight="1">
      <c r="A160" s="7" t="s">
        <v>367</v>
      </c>
      <c r="B160" s="7" t="s">
        <v>368</v>
      </c>
      <c r="C160" s="9">
        <v>39.8193127000302</v>
      </c>
    </row>
    <row r="161" ht="13.5" customHeight="1">
      <c r="A161" s="7" t="s">
        <v>369</v>
      </c>
      <c r="B161" s="7" t="s">
        <v>370</v>
      </c>
      <c r="C161" s="9">
        <v>49.8916208018772</v>
      </c>
    </row>
    <row r="162" ht="13.5" customHeight="1">
      <c r="A162" s="7" t="s">
        <v>371</v>
      </c>
      <c r="B162" s="7" t="s">
        <v>372</v>
      </c>
      <c r="C162" s="9">
        <v>64.721257260178</v>
      </c>
    </row>
    <row r="163" ht="13.5" customHeight="1">
      <c r="A163" s="7" t="s">
        <v>373</v>
      </c>
      <c r="B163" s="7" t="s">
        <v>374</v>
      </c>
      <c r="C163" s="9">
        <v>71.0601978319314</v>
      </c>
    </row>
    <row r="164" ht="13.5" customHeight="1">
      <c r="A164" s="7" t="s">
        <v>375</v>
      </c>
      <c r="B164" s="7" t="s">
        <v>478</v>
      </c>
      <c r="C164" s="9">
        <v>36.9324919563355</v>
      </c>
    </row>
    <row r="165" ht="13.5" customHeight="1">
      <c r="A165" s="7" t="s">
        <v>377</v>
      </c>
      <c r="B165" s="7" t="s">
        <v>378</v>
      </c>
      <c r="C165" s="9">
        <v>28.4251294112976</v>
      </c>
    </row>
    <row r="166" ht="13.5" customHeight="1">
      <c r="A166" s="7" t="s">
        <v>379</v>
      </c>
      <c r="B166" s="7" t="s">
        <v>380</v>
      </c>
      <c r="C166" s="9">
        <v>100.0</v>
      </c>
    </row>
    <row r="167" ht="13.5" customHeight="1">
      <c r="A167" s="7" t="s">
        <v>383</v>
      </c>
      <c r="B167" s="7" t="s">
        <v>384</v>
      </c>
      <c r="C167" s="9">
        <v>100.0</v>
      </c>
    </row>
    <row r="168" ht="13.5" customHeight="1">
      <c r="A168" s="7" t="s">
        <v>385</v>
      </c>
      <c r="B168" s="7" t="s">
        <v>386</v>
      </c>
      <c r="C168" s="9">
        <v>56.2738186224025</v>
      </c>
    </row>
    <row r="169" ht="13.5" customHeight="1">
      <c r="A169" s="7" t="s">
        <v>387</v>
      </c>
      <c r="B169" s="7" t="s">
        <v>388</v>
      </c>
      <c r="C169" s="9">
        <v>50.4880541008062</v>
      </c>
    </row>
    <row r="170" ht="13.5" customHeight="1">
      <c r="A170" s="7" t="s">
        <v>319</v>
      </c>
      <c r="B170" s="7" t="s">
        <v>479</v>
      </c>
      <c r="C170" s="9">
        <v>30.1452137932443</v>
      </c>
    </row>
    <row r="171" ht="13.5" customHeight="1">
      <c r="A171" s="7" t="s">
        <v>389</v>
      </c>
      <c r="B171" s="7" t="s">
        <v>390</v>
      </c>
      <c r="C171" s="9">
        <v>62.9783195179645</v>
      </c>
    </row>
    <row r="172" ht="13.5" customHeight="1">
      <c r="A172" s="7" t="s">
        <v>391</v>
      </c>
      <c r="B172" s="7" t="s">
        <v>392</v>
      </c>
      <c r="C172" s="9">
        <v>99.8425042231228</v>
      </c>
    </row>
    <row r="173" ht="13.5" customHeight="1">
      <c r="A173" s="7" t="s">
        <v>393</v>
      </c>
      <c r="B173" s="7" t="s">
        <v>394</v>
      </c>
      <c r="C173" s="9">
        <v>81.9957695278505</v>
      </c>
    </row>
    <row r="174" ht="13.5" customHeight="1">
      <c r="A174" s="7" t="s">
        <v>395</v>
      </c>
      <c r="B174" s="7" t="s">
        <v>396</v>
      </c>
      <c r="C174" s="9">
        <v>71.7140881184614</v>
      </c>
    </row>
    <row r="175" ht="13.5" customHeight="1">
      <c r="A175" s="7" t="s">
        <v>397</v>
      </c>
      <c r="B175" s="7" t="s">
        <v>398</v>
      </c>
      <c r="C175" s="9">
        <v>74.1775317166673</v>
      </c>
    </row>
    <row r="176" ht="13.5" customHeight="1">
      <c r="A176" s="7" t="s">
        <v>401</v>
      </c>
      <c r="B176" s="7" t="s">
        <v>402</v>
      </c>
      <c r="C176" s="9">
        <v>81.2305184808132</v>
      </c>
    </row>
    <row r="177" ht="13.5" customHeight="1">
      <c r="A177" s="7" t="s">
        <v>405</v>
      </c>
      <c r="B177" s="7" t="s">
        <v>406</v>
      </c>
      <c r="C177" s="9">
        <v>63.4803865776028</v>
      </c>
    </row>
    <row r="178" ht="13.5" customHeight="1">
      <c r="A178" s="7" t="s">
        <v>409</v>
      </c>
      <c r="B178" s="7" t="s">
        <v>410</v>
      </c>
      <c r="C178" s="9">
        <v>65.8268083550065</v>
      </c>
    </row>
    <row r="179" ht="13.5" customHeight="1">
      <c r="A179" s="7" t="s">
        <v>411</v>
      </c>
      <c r="B179" s="7" t="s">
        <v>412</v>
      </c>
      <c r="C179" s="9">
        <v>36.5908165073104</v>
      </c>
    </row>
    <row r="180" ht="13.5" customHeight="1">
      <c r="A180" s="7" t="s">
        <v>413</v>
      </c>
      <c r="B180" s="7" t="s">
        <v>414</v>
      </c>
      <c r="C180" s="9">
        <v>36.1698267021425</v>
      </c>
    </row>
    <row r="181" ht="13.5" customHeight="1">
      <c r="A181" s="7" t="s">
        <v>415</v>
      </c>
      <c r="B181" s="7" t="s">
        <v>416</v>
      </c>
      <c r="C181" s="9">
        <v>100.0</v>
      </c>
    </row>
    <row r="182" ht="13.5" customHeight="1">
      <c r="A182" s="7" t="s">
        <v>417</v>
      </c>
      <c r="B182" s="7" t="s">
        <v>418</v>
      </c>
      <c r="C182" s="9">
        <v>53.0858820526718</v>
      </c>
    </row>
    <row r="183" ht="13.5" customHeight="1">
      <c r="A183" s="7" t="s">
        <v>421</v>
      </c>
      <c r="B183" s="7" t="s">
        <v>422</v>
      </c>
      <c r="C183" s="9">
        <v>100.0</v>
      </c>
    </row>
    <row r="184" ht="13.5" customHeight="1">
      <c r="A184" s="7" t="s">
        <v>419</v>
      </c>
      <c r="B184" s="7" t="s">
        <v>480</v>
      </c>
      <c r="C184" s="9">
        <v>51.7946100135217</v>
      </c>
    </row>
    <row r="185" ht="13.5" customHeight="1">
      <c r="A185" s="7" t="s">
        <v>435</v>
      </c>
      <c r="B185" s="7" t="s">
        <v>435</v>
      </c>
      <c r="C185" s="9">
        <v>100.0</v>
      </c>
    </row>
    <row r="186" ht="13.5" customHeight="1">
      <c r="A186" s="7" t="s">
        <v>427</v>
      </c>
      <c r="B186" s="7" t="s">
        <v>428</v>
      </c>
      <c r="C186" s="9">
        <v>51.0338422192264</v>
      </c>
    </row>
    <row r="187" ht="13.5" customHeight="1">
      <c r="A187" s="7" t="s">
        <v>429</v>
      </c>
      <c r="B187" s="7" t="s">
        <v>430</v>
      </c>
      <c r="C187" s="9">
        <v>84.6649944502021</v>
      </c>
    </row>
    <row r="188" ht="13.5" customHeight="1">
      <c r="A188" s="7" t="s">
        <v>431</v>
      </c>
      <c r="B188" s="7" t="s">
        <v>432</v>
      </c>
      <c r="C188" s="9">
        <v>100.0</v>
      </c>
    </row>
    <row r="189" ht="13.5" customHeight="1">
      <c r="A189" s="7" t="s">
        <v>433</v>
      </c>
      <c r="B189" s="7" t="s">
        <v>434</v>
      </c>
      <c r="C189" s="9">
        <v>75.4706353740387</v>
      </c>
    </row>
    <row r="190" ht="13.5" customHeight="1">
      <c r="A190" s="7" t="s">
        <v>403</v>
      </c>
      <c r="B190" s="7" t="s">
        <v>481</v>
      </c>
      <c r="C190" s="9">
        <v>66.8761621688462</v>
      </c>
    </row>
    <row r="191" ht="13.5" customHeight="1">
      <c r="A191" s="7" t="s">
        <v>437</v>
      </c>
      <c r="B191" s="7" t="s">
        <v>438</v>
      </c>
      <c r="C191" s="9">
        <v>64.4571295595987</v>
      </c>
    </row>
    <row r="192" ht="13.5" customHeight="1">
      <c r="A192" s="7" t="s">
        <v>439</v>
      </c>
      <c r="B192" s="7" t="s">
        <v>440</v>
      </c>
      <c r="C192" s="9">
        <v>86.8334683176011</v>
      </c>
    </row>
    <row r="193" ht="13.5" customHeight="1">
      <c r="A193" s="7" t="s">
        <v>441</v>
      </c>
      <c r="B193" s="7" t="s">
        <v>442</v>
      </c>
      <c r="C193" s="9">
        <v>44.4086315731393</v>
      </c>
    </row>
    <row r="194" ht="13.5" customHeight="1">
      <c r="A194" s="7" t="s">
        <v>443</v>
      </c>
      <c r="B194" s="7" t="s">
        <v>444</v>
      </c>
      <c r="C194" s="9">
        <v>100.0</v>
      </c>
    </row>
    <row r="195" ht="13.5" customHeight="1">
      <c r="A195" s="7" t="s">
        <v>445</v>
      </c>
      <c r="B195" s="7" t="s">
        <v>482</v>
      </c>
      <c r="C195" s="9">
        <v>75.8678581986123</v>
      </c>
    </row>
    <row r="196" ht="13.5" customHeight="1">
      <c r="A196" s="7" t="s">
        <v>447</v>
      </c>
      <c r="B196" s="7" t="s">
        <v>448</v>
      </c>
      <c r="C196" s="9">
        <v>39.2916652147079</v>
      </c>
    </row>
    <row r="197" ht="13.5" customHeight="1">
      <c r="A197" s="7" t="s">
        <v>449</v>
      </c>
      <c r="B197" s="7" t="s">
        <v>450</v>
      </c>
      <c r="C197" s="9">
        <v>78.1886852757817</v>
      </c>
    </row>
    <row r="198" ht="13.5" customHeight="1">
      <c r="A198" s="7" t="s">
        <v>451</v>
      </c>
      <c r="B198" s="7" t="s">
        <v>452</v>
      </c>
      <c r="C198" s="9">
        <v>81.8719902726531</v>
      </c>
    </row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30.0"/>
    <col customWidth="1" min="3" max="3" width="24.0"/>
    <col customWidth="1" min="4" max="4" width="18.0"/>
    <col customWidth="1" min="5" max="26" width="8.86"/>
  </cols>
  <sheetData>
    <row r="1" ht="31.5" customHeight="1">
      <c r="A1" s="6" t="s">
        <v>30</v>
      </c>
      <c r="B1" s="6" t="s">
        <v>31</v>
      </c>
      <c r="C1" s="6" t="s">
        <v>483</v>
      </c>
      <c r="D1" s="6" t="s">
        <v>484</v>
      </c>
    </row>
    <row r="2" ht="13.5" customHeight="1">
      <c r="A2" s="7" t="s">
        <v>33</v>
      </c>
      <c r="B2" s="7" t="s">
        <v>34</v>
      </c>
      <c r="C2" s="10">
        <v>374.3766962</v>
      </c>
      <c r="D2" s="9">
        <v>5.46203612566071</v>
      </c>
    </row>
    <row r="3" ht="13.5" customHeight="1">
      <c r="A3" s="7" t="s">
        <v>35</v>
      </c>
      <c r="B3" s="7" t="s">
        <v>36</v>
      </c>
      <c r="C3" s="10">
        <v>6549.233874</v>
      </c>
      <c r="D3" s="9">
        <v>52.5925293232642</v>
      </c>
    </row>
    <row r="4" ht="13.5" customHeight="1">
      <c r="A4" s="7" t="s">
        <v>37</v>
      </c>
      <c r="B4" s="7" t="s">
        <v>38</v>
      </c>
      <c r="C4" s="10">
        <v>4765.729002</v>
      </c>
      <c r="D4" s="9">
        <v>47.3572036813205</v>
      </c>
    </row>
    <row r="5" ht="13.5" customHeight="1">
      <c r="A5" s="7" t="s">
        <v>41</v>
      </c>
      <c r="B5" s="7" t="s">
        <v>42</v>
      </c>
      <c r="C5" s="10">
        <v>2798.593928</v>
      </c>
      <c r="D5" s="9">
        <v>38.5904215088849</v>
      </c>
    </row>
    <row r="6" ht="13.5" customHeight="1">
      <c r="A6" s="7" t="s">
        <v>43</v>
      </c>
      <c r="B6" s="7" t="s">
        <v>44</v>
      </c>
      <c r="C6" s="10">
        <v>18304.58368</v>
      </c>
      <c r="D6" s="9">
        <v>69.5190059510754</v>
      </c>
    </row>
    <row r="7" ht="13.5" customHeight="1">
      <c r="A7" s="7" t="s">
        <v>45</v>
      </c>
      <c r="B7" s="7" t="s">
        <v>46</v>
      </c>
      <c r="C7" s="10">
        <v>12774.35066</v>
      </c>
      <c r="D7" s="9">
        <v>63.5950520685883</v>
      </c>
    </row>
    <row r="8" ht="13.5" customHeight="1">
      <c r="A8" s="7" t="s">
        <v>47</v>
      </c>
      <c r="B8" s="7" t="s">
        <v>48</v>
      </c>
      <c r="C8" s="10">
        <v>5378.318</v>
      </c>
      <c r="D8" s="9">
        <v>49.3486711195421</v>
      </c>
    </row>
    <row r="9" ht="13.5" customHeight="1">
      <c r="A9" s="7" t="s">
        <v>49</v>
      </c>
      <c r="B9" s="7" t="s">
        <v>50</v>
      </c>
      <c r="C9" s="10">
        <v>33938.95418</v>
      </c>
      <c r="D9" s="9">
        <v>79.6869121442737</v>
      </c>
    </row>
    <row r="10" ht="13.5" customHeight="1">
      <c r="A10" s="7" t="s">
        <v>51</v>
      </c>
      <c r="B10" s="7" t="s">
        <v>52</v>
      </c>
      <c r="C10" s="10">
        <v>61486.38148</v>
      </c>
      <c r="D10" s="9">
        <v>89.4734110300039</v>
      </c>
    </row>
    <row r="11" ht="13.5" customHeight="1">
      <c r="A11" s="7" t="s">
        <v>53</v>
      </c>
      <c r="B11" s="7" t="s">
        <v>54</v>
      </c>
      <c r="C11" s="10">
        <v>45958.82501</v>
      </c>
      <c r="D11" s="9">
        <v>84.6799004757374</v>
      </c>
    </row>
    <row r="12" ht="13.5" customHeight="1">
      <c r="A12" s="7" t="s">
        <v>55</v>
      </c>
      <c r="B12" s="7" t="s">
        <v>56</v>
      </c>
      <c r="C12" s="10">
        <v>5876.032955</v>
      </c>
      <c r="D12" s="9">
        <v>50.8062434173233</v>
      </c>
    </row>
    <row r="13" ht="13.5" customHeight="1">
      <c r="A13" s="7" t="s">
        <v>407</v>
      </c>
      <c r="B13" s="7" t="s">
        <v>457</v>
      </c>
      <c r="C13" s="10">
        <v>33968.20322</v>
      </c>
      <c r="D13" s="9">
        <v>79.7010988837239</v>
      </c>
    </row>
    <row r="14" ht="13.5" customHeight="1">
      <c r="A14" s="7" t="s">
        <v>57</v>
      </c>
      <c r="B14" s="7" t="s">
        <v>58</v>
      </c>
      <c r="C14" s="10">
        <v>25886.23932</v>
      </c>
      <c r="D14" s="9">
        <v>75.2263620511827</v>
      </c>
    </row>
    <row r="15" ht="13.5" customHeight="1">
      <c r="A15" s="7" t="s">
        <v>59</v>
      </c>
      <c r="B15" s="7" t="s">
        <v>60</v>
      </c>
      <c r="C15" s="10">
        <v>1941.278744</v>
      </c>
      <c r="D15" s="9">
        <v>32.5667005061902</v>
      </c>
    </row>
    <row r="16" ht="13.5" customHeight="1">
      <c r="A16" s="7" t="s">
        <v>61</v>
      </c>
      <c r="B16" s="7" t="s">
        <v>62</v>
      </c>
      <c r="C16" s="10">
        <v>22421.53336</v>
      </c>
      <c r="D16" s="9">
        <v>72.8599945001148</v>
      </c>
    </row>
    <row r="17" ht="13.5" customHeight="1">
      <c r="A17" s="7" t="s">
        <v>63</v>
      </c>
      <c r="B17" s="7" t="s">
        <v>64</v>
      </c>
      <c r="C17" s="10">
        <v>6814.344434</v>
      </c>
      <c r="D17" s="9">
        <v>53.2460325674527</v>
      </c>
    </row>
    <row r="18" ht="13.5" customHeight="1">
      <c r="A18" s="7" t="s">
        <v>65</v>
      </c>
      <c r="B18" s="7" t="s">
        <v>66</v>
      </c>
      <c r="C18" s="10">
        <v>45019.69897</v>
      </c>
      <c r="D18" s="9">
        <v>84.339894208147</v>
      </c>
    </row>
    <row r="19" ht="13.5" customHeight="1">
      <c r="A19" s="7" t="s">
        <v>67</v>
      </c>
      <c r="B19" s="7" t="s">
        <v>68</v>
      </c>
      <c r="C19" s="10">
        <v>6290.492945</v>
      </c>
      <c r="D19" s="9">
        <v>51.9287027284683</v>
      </c>
    </row>
    <row r="20" ht="13.5" customHeight="1">
      <c r="A20" s="7" t="s">
        <v>69</v>
      </c>
      <c r="B20" s="7" t="s">
        <v>70</v>
      </c>
      <c r="C20" s="10">
        <v>1324.783126</v>
      </c>
      <c r="D20" s="9">
        <v>26.2740817179411</v>
      </c>
    </row>
    <row r="21" ht="13.5" customHeight="1">
      <c r="A21" s="7" t="s">
        <v>71</v>
      </c>
      <c r="B21" s="7" t="s">
        <v>72</v>
      </c>
      <c r="C21" s="10">
        <v>116513.5366</v>
      </c>
      <c r="D21" s="9">
        <v>100.0</v>
      </c>
    </row>
    <row r="22" ht="13.5" customHeight="1">
      <c r="A22" s="7" t="s">
        <v>73</v>
      </c>
      <c r="B22" s="7" t="s">
        <v>74</v>
      </c>
      <c r="C22" s="10">
        <v>3717.210531</v>
      </c>
      <c r="D22" s="9">
        <v>43.2651372401169</v>
      </c>
    </row>
    <row r="23" ht="13.5" customHeight="1">
      <c r="A23" s="7" t="s">
        <v>75</v>
      </c>
      <c r="B23" s="7" t="s">
        <v>458</v>
      </c>
      <c r="C23" s="10">
        <v>3045.614766</v>
      </c>
      <c r="D23" s="9">
        <v>39.9834282103485</v>
      </c>
    </row>
    <row r="24" ht="13.5" customHeight="1">
      <c r="A24" s="7" t="s">
        <v>77</v>
      </c>
      <c r="B24" s="7" t="s">
        <v>459</v>
      </c>
      <c r="C24" s="10">
        <v>6746.953665</v>
      </c>
      <c r="D24" s="9">
        <v>53.0823549761994</v>
      </c>
    </row>
    <row r="25" ht="13.5" customHeight="1">
      <c r="A25" s="7" t="s">
        <v>79</v>
      </c>
      <c r="B25" s="7" t="s">
        <v>80</v>
      </c>
      <c r="C25" s="10">
        <v>6952.347704</v>
      </c>
      <c r="D25" s="9">
        <v>53.576220217415</v>
      </c>
    </row>
    <row r="26" ht="13.5" customHeight="1">
      <c r="A26" s="7" t="s">
        <v>81</v>
      </c>
      <c r="B26" s="7" t="s">
        <v>82</v>
      </c>
      <c r="C26" s="10">
        <v>9566.745187</v>
      </c>
      <c r="D26" s="9">
        <v>58.8332198368804</v>
      </c>
    </row>
    <row r="27" ht="13.5" customHeight="1">
      <c r="A27" s="7" t="s">
        <v>85</v>
      </c>
      <c r="B27" s="7" t="s">
        <v>460</v>
      </c>
      <c r="C27" s="10">
        <v>29563.86828</v>
      </c>
      <c r="D27" s="9">
        <v>77.4140734115707</v>
      </c>
    </row>
    <row r="28" ht="13.5" customHeight="1">
      <c r="A28" s="7" t="s">
        <v>87</v>
      </c>
      <c r="B28" s="7" t="s">
        <v>88</v>
      </c>
      <c r="C28" s="10">
        <v>10127.41526</v>
      </c>
      <c r="D28" s="9">
        <v>59.7711570644028</v>
      </c>
    </row>
    <row r="29" ht="13.5" customHeight="1">
      <c r="A29" s="7" t="s">
        <v>89</v>
      </c>
      <c r="B29" s="7" t="s">
        <v>90</v>
      </c>
      <c r="C29" s="10">
        <v>764.0826256</v>
      </c>
      <c r="D29" s="9">
        <v>17.2109518097251</v>
      </c>
    </row>
    <row r="30" ht="13.5" customHeight="1">
      <c r="A30" s="7" t="s">
        <v>93</v>
      </c>
      <c r="B30" s="7" t="s">
        <v>94</v>
      </c>
      <c r="C30" s="10">
        <v>268.7008574</v>
      </c>
      <c r="D30" s="9">
        <v>0.0</v>
      </c>
    </row>
    <row r="31" ht="13.5" customHeight="1">
      <c r="A31" s="7" t="s">
        <v>95</v>
      </c>
      <c r="B31" s="7" t="s">
        <v>96</v>
      </c>
      <c r="C31" s="10">
        <v>4438.387419</v>
      </c>
      <c r="D31" s="9">
        <v>46.1853084650082</v>
      </c>
    </row>
    <row r="32" ht="13.5" customHeight="1">
      <c r="A32" s="7" t="s">
        <v>97</v>
      </c>
      <c r="B32" s="7" t="s">
        <v>98</v>
      </c>
      <c r="C32" s="10">
        <v>2183.556824</v>
      </c>
      <c r="D32" s="9">
        <v>34.503542378695</v>
      </c>
    </row>
    <row r="33" ht="13.5" customHeight="1">
      <c r="A33" s="7" t="s">
        <v>99</v>
      </c>
      <c r="B33" s="7" t="s">
        <v>100</v>
      </c>
      <c r="C33" s="10">
        <v>1480.730974</v>
      </c>
      <c r="D33" s="9">
        <v>28.1068237033062</v>
      </c>
    </row>
    <row r="34" ht="13.5" customHeight="1">
      <c r="A34" s="7" t="s">
        <v>101</v>
      </c>
      <c r="B34" s="7" t="s">
        <v>102</v>
      </c>
      <c r="C34" s="10">
        <v>45061.38646</v>
      </c>
      <c r="D34" s="9">
        <v>84.3551367946432</v>
      </c>
    </row>
    <row r="35" ht="13.5" customHeight="1">
      <c r="A35" s="7" t="s">
        <v>103</v>
      </c>
      <c r="B35" s="7" t="s">
        <v>461</v>
      </c>
      <c r="C35" s="10">
        <v>84381.47314</v>
      </c>
      <c r="D35" s="9">
        <v>94.6862503456157</v>
      </c>
    </row>
    <row r="36" ht="13.5" customHeight="1">
      <c r="A36" s="7" t="s">
        <v>105</v>
      </c>
      <c r="B36" s="7" t="s">
        <v>462</v>
      </c>
      <c r="C36" s="10">
        <v>389.938308</v>
      </c>
      <c r="D36" s="9">
        <v>6.13273675505448</v>
      </c>
    </row>
    <row r="37" ht="13.5" customHeight="1">
      <c r="A37" s="7" t="s">
        <v>107</v>
      </c>
      <c r="B37" s="7" t="s">
        <v>108</v>
      </c>
      <c r="C37" s="10">
        <v>855.9993532</v>
      </c>
      <c r="D37" s="9">
        <v>19.0816800692451</v>
      </c>
    </row>
    <row r="38" ht="13.5" customHeight="1">
      <c r="A38" s="7" t="s">
        <v>109</v>
      </c>
      <c r="B38" s="7" t="s">
        <v>110</v>
      </c>
      <c r="C38" s="10">
        <v>14616.92879</v>
      </c>
      <c r="D38" s="9">
        <v>65.814047744759</v>
      </c>
    </row>
    <row r="39" ht="13.5" customHeight="1">
      <c r="A39" s="7" t="s">
        <v>111</v>
      </c>
      <c r="B39" s="7" t="s">
        <v>112</v>
      </c>
      <c r="C39" s="10">
        <v>13119.10761</v>
      </c>
      <c r="D39" s="9">
        <v>64.0336182485146</v>
      </c>
    </row>
    <row r="40" ht="13.5" customHeight="1">
      <c r="A40" s="7" t="s">
        <v>203</v>
      </c>
      <c r="B40" s="7" t="s">
        <v>463</v>
      </c>
      <c r="C40" s="10">
        <v>44734.43653</v>
      </c>
      <c r="D40" s="9">
        <v>84.2352107435956</v>
      </c>
    </row>
    <row r="41" ht="13.5" customHeight="1">
      <c r="A41" s="7" t="s">
        <v>257</v>
      </c>
      <c r="B41" s="7" t="s">
        <v>464</v>
      </c>
      <c r="C41" s="10">
        <v>63377.29321</v>
      </c>
      <c r="D41" s="9">
        <v>89.9722436525289</v>
      </c>
    </row>
    <row r="42" ht="13.5" customHeight="1">
      <c r="A42" s="7" t="s">
        <v>113</v>
      </c>
      <c r="B42" s="7" t="s">
        <v>114</v>
      </c>
      <c r="C42" s="10">
        <v>6865.312839</v>
      </c>
      <c r="D42" s="9">
        <v>53.3687522820257</v>
      </c>
    </row>
    <row r="43" ht="13.5" customHeight="1">
      <c r="A43" s="7" t="s">
        <v>115</v>
      </c>
      <c r="B43" s="7" t="s">
        <v>116</v>
      </c>
      <c r="C43" s="10">
        <v>1402.526143</v>
      </c>
      <c r="D43" s="9">
        <v>27.2132235241953</v>
      </c>
    </row>
    <row r="44" ht="13.5" customHeight="1">
      <c r="A44" s="7" t="s">
        <v>117</v>
      </c>
      <c r="B44" s="7" t="s">
        <v>465</v>
      </c>
      <c r="C44" s="10">
        <v>1671.726602</v>
      </c>
      <c r="D44" s="9">
        <v>30.1048118651984</v>
      </c>
    </row>
    <row r="45" ht="13.5" customHeight="1">
      <c r="A45" s="7" t="s">
        <v>123</v>
      </c>
      <c r="B45" s="7" t="s">
        <v>124</v>
      </c>
      <c r="C45" s="10">
        <v>15052.91499</v>
      </c>
      <c r="D45" s="9">
        <v>66.2980810507489</v>
      </c>
    </row>
    <row r="46" ht="13.5" customHeight="1">
      <c r="A46" s="7" t="s">
        <v>127</v>
      </c>
      <c r="B46" s="7" t="s">
        <v>128</v>
      </c>
      <c r="C46" s="10">
        <v>17854.32626</v>
      </c>
      <c r="D46" s="9">
        <v>69.1088448239982</v>
      </c>
    </row>
    <row r="47" ht="13.5" customHeight="1">
      <c r="A47" s="7" t="s">
        <v>129</v>
      </c>
      <c r="B47" s="7" t="s">
        <v>130</v>
      </c>
      <c r="C47" s="10">
        <v>7381.39774</v>
      </c>
      <c r="D47" s="9">
        <v>54.5624191137015</v>
      </c>
    </row>
    <row r="48" ht="13.5" customHeight="1">
      <c r="A48" s="7" t="s">
        <v>131</v>
      </c>
      <c r="B48" s="7" t="s">
        <v>132</v>
      </c>
      <c r="C48" s="10">
        <v>32757.54102</v>
      </c>
      <c r="D48" s="9">
        <v>79.1034257690146</v>
      </c>
    </row>
    <row r="49" ht="13.5" customHeight="1">
      <c r="A49" s="7" t="s">
        <v>133</v>
      </c>
      <c r="B49" s="7" t="s">
        <v>134</v>
      </c>
      <c r="C49" s="10">
        <v>20449.11359</v>
      </c>
      <c r="D49" s="9">
        <v>71.3435290192886</v>
      </c>
    </row>
    <row r="50" ht="13.5" customHeight="1">
      <c r="A50" s="7" t="s">
        <v>125</v>
      </c>
      <c r="B50" s="7" t="s">
        <v>466</v>
      </c>
      <c r="C50" s="10">
        <v>2395.65917</v>
      </c>
      <c r="D50" s="9">
        <v>36.0302353694507</v>
      </c>
    </row>
    <row r="51" ht="13.5" customHeight="1">
      <c r="A51" s="7" t="s">
        <v>119</v>
      </c>
      <c r="B51" s="7" t="s">
        <v>468</v>
      </c>
      <c r="C51" s="10">
        <v>554.11761</v>
      </c>
      <c r="D51" s="9">
        <v>11.9196096515616</v>
      </c>
    </row>
    <row r="52" ht="13.5" customHeight="1">
      <c r="A52" s="7" t="s">
        <v>135</v>
      </c>
      <c r="B52" s="7" t="s">
        <v>136</v>
      </c>
      <c r="C52" s="10">
        <v>60772.86243</v>
      </c>
      <c r="D52" s="9">
        <v>89.2811836270795</v>
      </c>
    </row>
    <row r="53" ht="13.5" customHeight="1">
      <c r="A53" s="7" t="s">
        <v>137</v>
      </c>
      <c r="B53" s="7" t="s">
        <v>138</v>
      </c>
      <c r="C53" s="10">
        <v>3290.424821</v>
      </c>
      <c r="D53" s="9">
        <v>41.2566795021279</v>
      </c>
    </row>
    <row r="54" ht="13.5" customHeight="1">
      <c r="A54" s="7" t="s">
        <v>139</v>
      </c>
      <c r="B54" s="7" t="s">
        <v>140</v>
      </c>
      <c r="C54" s="10">
        <v>9172.710496</v>
      </c>
      <c r="D54" s="9">
        <v>58.1405472417835</v>
      </c>
    </row>
    <row r="55" ht="13.5" customHeight="1">
      <c r="A55" s="7" t="s">
        <v>141</v>
      </c>
      <c r="B55" s="7" t="s">
        <v>469</v>
      </c>
      <c r="C55" s="10">
        <v>9168.454189</v>
      </c>
      <c r="D55" s="9">
        <v>58.1329037369711</v>
      </c>
    </row>
    <row r="56" ht="13.5" customHeight="1">
      <c r="A56" s="7" t="s">
        <v>143</v>
      </c>
      <c r="B56" s="7" t="s">
        <v>144</v>
      </c>
      <c r="C56" s="10">
        <v>5993.746978</v>
      </c>
      <c r="D56" s="9">
        <v>51.1328961336834</v>
      </c>
    </row>
    <row r="57" ht="13.5" customHeight="1">
      <c r="A57" s="7" t="s">
        <v>145</v>
      </c>
      <c r="B57" s="7" t="s">
        <v>146</v>
      </c>
      <c r="C57" s="10">
        <v>4137.609292</v>
      </c>
      <c r="D57" s="9">
        <v>45.0296585050055</v>
      </c>
    </row>
    <row r="58" ht="13.5" customHeight="1">
      <c r="A58" s="7" t="s">
        <v>147</v>
      </c>
      <c r="B58" s="7" t="s">
        <v>148</v>
      </c>
      <c r="C58" s="10">
        <v>4576.558466</v>
      </c>
      <c r="D58" s="9">
        <v>46.6901725020573</v>
      </c>
    </row>
    <row r="59" ht="13.5" customHeight="1">
      <c r="A59" s="7" t="s">
        <v>149</v>
      </c>
      <c r="B59" s="7" t="s">
        <v>150</v>
      </c>
      <c r="C59" s="10">
        <v>4892.953105</v>
      </c>
      <c r="D59" s="9">
        <v>47.7910772005365</v>
      </c>
    </row>
    <row r="60" ht="13.5" customHeight="1">
      <c r="A60" s="7" t="s">
        <v>153</v>
      </c>
      <c r="B60" s="7" t="s">
        <v>154</v>
      </c>
      <c r="C60" s="10">
        <v>20078.13976</v>
      </c>
      <c r="D60" s="9">
        <v>71.0420238702059</v>
      </c>
    </row>
    <row r="61" ht="13.5" customHeight="1">
      <c r="A61" s="7" t="s">
        <v>155</v>
      </c>
      <c r="B61" s="7" t="s">
        <v>156</v>
      </c>
      <c r="C61" s="10">
        <v>3866.371279</v>
      </c>
      <c r="D61" s="9">
        <v>43.9130591870337</v>
      </c>
    </row>
    <row r="62" ht="13.5" customHeight="1">
      <c r="A62" s="7" t="s">
        <v>157</v>
      </c>
      <c r="B62" s="7" t="s">
        <v>158</v>
      </c>
      <c r="C62" s="10">
        <v>883.4585886</v>
      </c>
      <c r="D62" s="9">
        <v>19.6016725788483</v>
      </c>
    </row>
    <row r="63" ht="13.5" customHeight="1">
      <c r="A63" s="7" t="s">
        <v>454</v>
      </c>
      <c r="B63" s="7" t="s">
        <v>470</v>
      </c>
      <c r="C63" s="10">
        <v>3001.796697</v>
      </c>
      <c r="D63" s="9">
        <v>39.7447692099913</v>
      </c>
    </row>
    <row r="64" ht="13.5" customHeight="1">
      <c r="A64" s="7" t="s">
        <v>163</v>
      </c>
      <c r="B64" s="7" t="s">
        <v>164</v>
      </c>
      <c r="C64" s="10">
        <v>5935.208957</v>
      </c>
      <c r="D64" s="9">
        <v>50.9712647880746</v>
      </c>
    </row>
    <row r="65" ht="13.5" customHeight="1">
      <c r="A65" s="7" t="s">
        <v>165</v>
      </c>
      <c r="B65" s="7" t="s">
        <v>166</v>
      </c>
      <c r="C65" s="10">
        <v>45075.16849</v>
      </c>
      <c r="D65" s="9">
        <v>84.3601729456039</v>
      </c>
    </row>
    <row r="66" ht="13.5" customHeight="1">
      <c r="A66" s="7" t="s">
        <v>167</v>
      </c>
      <c r="B66" s="7" t="s">
        <v>168</v>
      </c>
      <c r="C66" s="10">
        <v>39683.39535</v>
      </c>
      <c r="D66" s="9">
        <v>82.2620962247445</v>
      </c>
    </row>
    <row r="67" ht="13.5" customHeight="1">
      <c r="A67" s="7" t="s">
        <v>169</v>
      </c>
      <c r="B67" s="7" t="s">
        <v>170</v>
      </c>
      <c r="C67" s="10">
        <v>20846.65141</v>
      </c>
      <c r="D67" s="9">
        <v>71.6606119420972</v>
      </c>
    </row>
    <row r="68" ht="13.5" customHeight="1">
      <c r="A68" s="7" t="s">
        <v>171</v>
      </c>
      <c r="B68" s="7" t="s">
        <v>172</v>
      </c>
      <c r="C68" s="10">
        <v>6618.986859</v>
      </c>
      <c r="D68" s="9">
        <v>52.7670015333026</v>
      </c>
    </row>
    <row r="69" ht="13.5" customHeight="1">
      <c r="A69" s="7" t="s">
        <v>173</v>
      </c>
      <c r="B69" s="7" t="s">
        <v>471</v>
      </c>
      <c r="C69" s="10">
        <v>758.9658888</v>
      </c>
      <c r="D69" s="9">
        <v>17.1002977186862</v>
      </c>
    </row>
    <row r="70" ht="13.5" customHeight="1">
      <c r="A70" s="7" t="s">
        <v>175</v>
      </c>
      <c r="B70" s="7" t="s">
        <v>176</v>
      </c>
      <c r="C70" s="10">
        <v>6606.357723</v>
      </c>
      <c r="D70" s="9">
        <v>52.7355491705093</v>
      </c>
    </row>
    <row r="71" ht="13.5" customHeight="1">
      <c r="A71" s="7" t="s">
        <v>177</v>
      </c>
      <c r="B71" s="7" t="s">
        <v>178</v>
      </c>
      <c r="C71" s="10">
        <v>44027.76316</v>
      </c>
      <c r="D71" s="9">
        <v>83.9729783456977</v>
      </c>
    </row>
    <row r="72" ht="13.5" customHeight="1">
      <c r="A72" s="7" t="s">
        <v>179</v>
      </c>
      <c r="B72" s="7" t="s">
        <v>180</v>
      </c>
      <c r="C72" s="10">
        <v>2173.003298</v>
      </c>
      <c r="D72" s="9">
        <v>34.4237537092661</v>
      </c>
    </row>
    <row r="73" ht="13.5" customHeight="1">
      <c r="A73" s="7" t="s">
        <v>183</v>
      </c>
      <c r="B73" s="7" t="s">
        <v>184</v>
      </c>
      <c r="C73" s="10">
        <v>21494.68561</v>
      </c>
      <c r="D73" s="9">
        <v>72.1647549786591</v>
      </c>
    </row>
    <row r="74" ht="13.5" customHeight="1">
      <c r="A74" s="7" t="s">
        <v>187</v>
      </c>
      <c r="B74" s="7" t="s">
        <v>188</v>
      </c>
      <c r="C74" s="10">
        <v>10042.65031</v>
      </c>
      <c r="D74" s="9">
        <v>59.6327373153669</v>
      </c>
    </row>
    <row r="75" ht="13.5" customHeight="1">
      <c r="A75" s="7" t="s">
        <v>191</v>
      </c>
      <c r="B75" s="7" t="s">
        <v>192</v>
      </c>
      <c r="C75" s="10">
        <v>4564.213785</v>
      </c>
      <c r="D75" s="9">
        <v>46.6456905591723</v>
      </c>
    </row>
    <row r="76" ht="13.5" customHeight="1">
      <c r="A76" s="7" t="s">
        <v>193</v>
      </c>
      <c r="B76" s="7" t="s">
        <v>194</v>
      </c>
      <c r="C76" s="10">
        <v>1045.922075</v>
      </c>
      <c r="D76" s="9">
        <v>22.3817312890228</v>
      </c>
    </row>
    <row r="77" ht="13.5" customHeight="1">
      <c r="A77" s="7" t="s">
        <v>195</v>
      </c>
      <c r="B77" s="7" t="s">
        <v>196</v>
      </c>
      <c r="C77" s="10">
        <v>785.9102196</v>
      </c>
      <c r="D77" s="9">
        <v>17.6748165754988</v>
      </c>
    </row>
    <row r="78" ht="13.5" customHeight="1">
      <c r="A78" s="7" t="s">
        <v>197</v>
      </c>
      <c r="B78" s="7" t="s">
        <v>198</v>
      </c>
      <c r="C78" s="10">
        <v>33034.94887</v>
      </c>
      <c r="D78" s="9">
        <v>79.2423031437813</v>
      </c>
    </row>
    <row r="79" ht="13.5" customHeight="1">
      <c r="A79" s="7" t="s">
        <v>199</v>
      </c>
      <c r="B79" s="7" t="s">
        <v>200</v>
      </c>
      <c r="C79" s="10">
        <v>1154.688419</v>
      </c>
      <c r="D79" s="9">
        <v>24.0109968221701</v>
      </c>
    </row>
    <row r="80" ht="13.5" customHeight="1">
      <c r="A80" s="7" t="s">
        <v>201</v>
      </c>
      <c r="B80" s="7" t="s">
        <v>202</v>
      </c>
      <c r="C80" s="10">
        <v>2575.320812</v>
      </c>
      <c r="D80" s="9">
        <v>37.2211731076003</v>
      </c>
    </row>
    <row r="81" ht="13.5" customHeight="1">
      <c r="A81" s="7" t="s">
        <v>205</v>
      </c>
      <c r="B81" s="7" t="s">
        <v>206</v>
      </c>
      <c r="C81" s="10">
        <v>16543.10491</v>
      </c>
      <c r="D81" s="9">
        <v>67.8526789382308</v>
      </c>
    </row>
    <row r="82" ht="13.5" customHeight="1">
      <c r="A82" s="7" t="s">
        <v>207</v>
      </c>
      <c r="B82" s="7" t="s">
        <v>208</v>
      </c>
      <c r="C82" s="10">
        <v>59053.56484</v>
      </c>
      <c r="D82" s="9">
        <v>88.8085607386257</v>
      </c>
    </row>
    <row r="83" ht="13.5" customHeight="1">
      <c r="A83" s="7" t="s">
        <v>209</v>
      </c>
      <c r="B83" s="7" t="s">
        <v>210</v>
      </c>
      <c r="C83" s="10">
        <v>2366.832891</v>
      </c>
      <c r="D83" s="9">
        <v>35.830871651007</v>
      </c>
    </row>
    <row r="84" ht="13.5" customHeight="1">
      <c r="A84" s="7" t="s">
        <v>211</v>
      </c>
      <c r="B84" s="7" t="s">
        <v>212</v>
      </c>
      <c r="C84" s="10">
        <v>4367.947418</v>
      </c>
      <c r="D84" s="9">
        <v>45.9218452894136</v>
      </c>
    </row>
    <row r="85" ht="13.5" customHeight="1">
      <c r="A85" s="7" t="s">
        <v>213</v>
      </c>
      <c r="B85" s="7" t="s">
        <v>214</v>
      </c>
      <c r="C85" s="10">
        <v>5834.442969</v>
      </c>
      <c r="D85" s="9">
        <v>50.6892658581469</v>
      </c>
    </row>
    <row r="86" ht="13.5" customHeight="1">
      <c r="A86" s="7" t="s">
        <v>215</v>
      </c>
      <c r="B86" s="7" t="s">
        <v>216</v>
      </c>
      <c r="C86" s="10">
        <v>4180.296195</v>
      </c>
      <c r="D86" s="9">
        <v>45.1986913025318</v>
      </c>
    </row>
    <row r="87" ht="13.5" customHeight="1">
      <c r="A87" s="7" t="s">
        <v>217</v>
      </c>
      <c r="B87" s="7" t="s">
        <v>218</v>
      </c>
      <c r="C87" s="10">
        <v>94474.98797</v>
      </c>
      <c r="D87" s="9">
        <v>96.5469915302356</v>
      </c>
    </row>
    <row r="88" ht="13.5" customHeight="1">
      <c r="A88" s="7" t="s">
        <v>219</v>
      </c>
      <c r="B88" s="7" t="s">
        <v>220</v>
      </c>
      <c r="C88" s="10">
        <v>41882.04747</v>
      </c>
      <c r="D88" s="9">
        <v>83.1501556782303</v>
      </c>
    </row>
    <row r="89" ht="13.5" customHeight="1">
      <c r="A89" s="7" t="s">
        <v>221</v>
      </c>
      <c r="B89" s="7" t="s">
        <v>222</v>
      </c>
      <c r="C89" s="10">
        <v>34508.12352</v>
      </c>
      <c r="D89" s="9">
        <v>79.9608065093786</v>
      </c>
    </row>
    <row r="90" ht="13.5" customHeight="1">
      <c r="A90" s="7" t="s">
        <v>223</v>
      </c>
      <c r="B90" s="7" t="s">
        <v>224</v>
      </c>
      <c r="C90" s="10">
        <v>6096.432703</v>
      </c>
      <c r="D90" s="9">
        <v>51.4126488178905</v>
      </c>
    </row>
    <row r="91" ht="13.5" customHeight="1">
      <c r="A91" s="7" t="s">
        <v>225</v>
      </c>
      <c r="B91" s="7" t="s">
        <v>226</v>
      </c>
      <c r="C91" s="10">
        <v>37976.63718</v>
      </c>
      <c r="D91" s="9">
        <v>81.5381090726246</v>
      </c>
    </row>
    <row r="92" ht="13.5" customHeight="1">
      <c r="A92" s="7" t="s">
        <v>227</v>
      </c>
      <c r="B92" s="7" t="s">
        <v>228</v>
      </c>
      <c r="C92" s="10">
        <v>4441.039749</v>
      </c>
      <c r="D92" s="9">
        <v>46.1951469702589</v>
      </c>
    </row>
    <row r="93" ht="13.5" customHeight="1">
      <c r="A93" s="7" t="s">
        <v>229</v>
      </c>
      <c r="B93" s="7" t="s">
        <v>230</v>
      </c>
      <c r="C93" s="10">
        <v>11872.78426</v>
      </c>
      <c r="D93" s="9">
        <v>62.3897064691983</v>
      </c>
    </row>
    <row r="94" ht="13.5" customHeight="1">
      <c r="A94" s="7" t="s">
        <v>231</v>
      </c>
      <c r="B94" s="7" t="s">
        <v>232</v>
      </c>
      <c r="C94" s="10">
        <v>1858.8765</v>
      </c>
      <c r="D94" s="9">
        <v>31.8523813750564</v>
      </c>
    </row>
    <row r="95" ht="13.5" customHeight="1">
      <c r="A95" s="7" t="s">
        <v>233</v>
      </c>
      <c r="B95" s="7" t="s">
        <v>234</v>
      </c>
      <c r="C95" s="10">
        <v>2052.812988</v>
      </c>
      <c r="D95" s="9">
        <v>33.4867043005716</v>
      </c>
    </row>
    <row r="96" ht="13.5" customHeight="1">
      <c r="A96" s="7" t="s">
        <v>237</v>
      </c>
      <c r="B96" s="7" t="s">
        <v>238</v>
      </c>
      <c r="C96" s="10">
        <v>24140.3258</v>
      </c>
      <c r="D96" s="9">
        <v>74.0763961592321</v>
      </c>
    </row>
    <row r="97" ht="13.5" customHeight="1">
      <c r="A97" s="7" t="s">
        <v>239</v>
      </c>
      <c r="B97" s="7" t="s">
        <v>240</v>
      </c>
      <c r="C97" s="10">
        <v>1423.586247</v>
      </c>
      <c r="D97" s="9">
        <v>27.4586749856758</v>
      </c>
    </row>
    <row r="98" ht="13.5" customHeight="1">
      <c r="A98" s="7" t="s">
        <v>241</v>
      </c>
      <c r="B98" s="7" t="s">
        <v>472</v>
      </c>
      <c r="C98" s="10">
        <v>2721.078107</v>
      </c>
      <c r="D98" s="9">
        <v>38.1278358856197</v>
      </c>
    </row>
    <row r="99" ht="13.5" customHeight="1">
      <c r="A99" s="7" t="s">
        <v>243</v>
      </c>
      <c r="B99" s="7" t="s">
        <v>244</v>
      </c>
      <c r="C99" s="10">
        <v>16376.25652</v>
      </c>
      <c r="D99" s="9">
        <v>67.6857387735372</v>
      </c>
    </row>
    <row r="100" ht="13.5" customHeight="1">
      <c r="A100" s="7" t="s">
        <v>245</v>
      </c>
      <c r="B100" s="7" t="s">
        <v>246</v>
      </c>
      <c r="C100" s="10">
        <v>5391.229142</v>
      </c>
      <c r="D100" s="9">
        <v>49.3881580999882</v>
      </c>
    </row>
    <row r="101" ht="13.5" customHeight="1">
      <c r="A101" s="7" t="s">
        <v>247</v>
      </c>
      <c r="B101" s="7" t="s">
        <v>248</v>
      </c>
      <c r="C101" s="10">
        <v>1012.593795</v>
      </c>
      <c r="D101" s="9">
        <v>21.8484171054756</v>
      </c>
    </row>
    <row r="102" ht="13.5" customHeight="1">
      <c r="A102" s="7" t="s">
        <v>249</v>
      </c>
      <c r="B102" s="7" t="s">
        <v>250</v>
      </c>
      <c r="C102" s="10">
        <v>665.1013376</v>
      </c>
      <c r="D102" s="9">
        <v>14.926156556361</v>
      </c>
    </row>
    <row r="103" ht="13.5" customHeight="1">
      <c r="A103" s="7" t="s">
        <v>251</v>
      </c>
      <c r="B103" s="7" t="s">
        <v>252</v>
      </c>
      <c r="C103" s="10">
        <v>7696.080782</v>
      </c>
      <c r="D103" s="9">
        <v>55.2499531355414</v>
      </c>
    </row>
    <row r="104" ht="13.5" customHeight="1">
      <c r="A104" s="7" t="s">
        <v>253</v>
      </c>
      <c r="B104" s="7" t="s">
        <v>254</v>
      </c>
      <c r="C104" s="10">
        <v>19205.41523</v>
      </c>
      <c r="D104" s="9">
        <v>70.3101700144417</v>
      </c>
    </row>
    <row r="105" ht="13.5" customHeight="1">
      <c r="A105" s="7" t="s">
        <v>255</v>
      </c>
      <c r="B105" s="7" t="s">
        <v>256</v>
      </c>
      <c r="C105" s="10">
        <v>104147.1113</v>
      </c>
      <c r="D105" s="9">
        <v>98.1521739485549</v>
      </c>
    </row>
    <row r="106" ht="13.5" customHeight="1">
      <c r="A106" s="7" t="s">
        <v>259</v>
      </c>
      <c r="B106" s="7" t="s">
        <v>260</v>
      </c>
      <c r="C106" s="10">
        <v>453.9578097</v>
      </c>
      <c r="D106" s="9">
        <v>8.63622185085519</v>
      </c>
    </row>
    <row r="107" ht="13.5" customHeight="1">
      <c r="A107" s="7" t="s">
        <v>261</v>
      </c>
      <c r="B107" s="7" t="s">
        <v>262</v>
      </c>
      <c r="C107" s="10">
        <v>551.9515235</v>
      </c>
      <c r="D107" s="9">
        <v>11.8551065528347</v>
      </c>
    </row>
    <row r="108" ht="13.5" customHeight="1">
      <c r="A108" s="7" t="s">
        <v>263</v>
      </c>
      <c r="B108" s="7" t="s">
        <v>264</v>
      </c>
      <c r="C108" s="10">
        <v>11883.79128</v>
      </c>
      <c r="D108" s="9">
        <v>62.4049670987164</v>
      </c>
    </row>
    <row r="109" ht="13.5" customHeight="1">
      <c r="A109" s="7" t="s">
        <v>265</v>
      </c>
      <c r="B109" s="7" t="s">
        <v>266</v>
      </c>
      <c r="C109" s="10">
        <v>11798.79137</v>
      </c>
      <c r="D109" s="9">
        <v>62.2867506878469</v>
      </c>
    </row>
    <row r="110" ht="13.5" customHeight="1">
      <c r="A110" s="7" t="s">
        <v>267</v>
      </c>
      <c r="B110" s="7" t="s">
        <v>268</v>
      </c>
      <c r="C110" s="10">
        <v>910.3003763</v>
      </c>
      <c r="D110" s="9">
        <v>20.0945810387549</v>
      </c>
    </row>
    <row r="111" ht="13.5" customHeight="1">
      <c r="A111" s="7" t="s">
        <v>269</v>
      </c>
      <c r="B111" s="7" t="s">
        <v>270</v>
      </c>
      <c r="C111" s="10">
        <v>34501.78927</v>
      </c>
      <c r="D111" s="9">
        <v>79.9577832860971</v>
      </c>
    </row>
    <row r="112" ht="13.5" customHeight="1">
      <c r="A112" s="7" t="s">
        <v>271</v>
      </c>
      <c r="B112" s="7" t="s">
        <v>272</v>
      </c>
      <c r="C112" s="10">
        <v>1692.841661</v>
      </c>
      <c r="D112" s="9">
        <v>30.3115188525828</v>
      </c>
    </row>
    <row r="113" ht="13.5" customHeight="1">
      <c r="A113" s="7" t="s">
        <v>273</v>
      </c>
      <c r="B113" s="7" t="s">
        <v>274</v>
      </c>
      <c r="C113" s="10">
        <v>11918.80452</v>
      </c>
      <c r="D113" s="9">
        <v>62.4534172115496</v>
      </c>
    </row>
    <row r="114" ht="13.5" customHeight="1">
      <c r="A114" s="7" t="s">
        <v>275</v>
      </c>
      <c r="B114" s="7" t="s">
        <v>276</v>
      </c>
      <c r="C114" s="10">
        <v>10284.03369</v>
      </c>
      <c r="D114" s="9">
        <v>60.0238912879072</v>
      </c>
    </row>
    <row r="115" ht="13.5" customHeight="1">
      <c r="A115" s="7" t="s">
        <v>279</v>
      </c>
      <c r="B115" s="7" t="s">
        <v>280</v>
      </c>
      <c r="C115" s="10">
        <v>4626.796096</v>
      </c>
      <c r="D115" s="9">
        <v>46.8699659261845</v>
      </c>
    </row>
    <row r="116" ht="13.5" customHeight="1">
      <c r="A116" s="7" t="s">
        <v>281</v>
      </c>
      <c r="B116" s="7" t="s">
        <v>282</v>
      </c>
      <c r="C116" s="10">
        <v>8540.004278</v>
      </c>
      <c r="D116" s="9">
        <v>56.9635151909628</v>
      </c>
    </row>
    <row r="117" ht="13.5" customHeight="1">
      <c r="A117" s="7" t="s">
        <v>285</v>
      </c>
      <c r="B117" s="7" t="s">
        <v>286</v>
      </c>
      <c r="C117" s="10">
        <v>3516.154053</v>
      </c>
      <c r="D117" s="9">
        <v>42.3493889873603</v>
      </c>
    </row>
    <row r="118" ht="13.5" customHeight="1">
      <c r="A118" s="7" t="s">
        <v>287</v>
      </c>
      <c r="B118" s="7" t="s">
        <v>288</v>
      </c>
      <c r="C118" s="10">
        <v>605.7634814</v>
      </c>
      <c r="D118" s="9">
        <v>13.3871697841606</v>
      </c>
    </row>
    <row r="119" ht="13.5" customHeight="1">
      <c r="A119" s="7" t="s">
        <v>91</v>
      </c>
      <c r="B119" s="7" t="s">
        <v>473</v>
      </c>
      <c r="C119" s="10">
        <v>1158.479281</v>
      </c>
      <c r="D119" s="9">
        <v>24.0649749409928</v>
      </c>
    </row>
    <row r="120" ht="13.5" customHeight="1">
      <c r="A120" s="7" t="s">
        <v>289</v>
      </c>
      <c r="B120" s="7" t="s">
        <v>290</v>
      </c>
      <c r="C120" s="10">
        <v>4032.401507</v>
      </c>
      <c r="D120" s="9">
        <v>44.6054926017113</v>
      </c>
    </row>
    <row r="121" ht="13.5" customHeight="1">
      <c r="A121" s="7" t="s">
        <v>291</v>
      </c>
      <c r="B121" s="7" t="s">
        <v>292</v>
      </c>
      <c r="C121" s="10">
        <v>8218.724768</v>
      </c>
      <c r="D121" s="9">
        <v>56.3320031104168</v>
      </c>
    </row>
    <row r="122" ht="13.5" customHeight="1">
      <c r="A122" s="7" t="s">
        <v>293</v>
      </c>
      <c r="B122" s="7" t="s">
        <v>294</v>
      </c>
      <c r="C122" s="10">
        <v>1179.954993</v>
      </c>
      <c r="D122" s="9">
        <v>24.3674719705307</v>
      </c>
    </row>
    <row r="123" ht="13.5" customHeight="1">
      <c r="A123" s="7" t="s">
        <v>295</v>
      </c>
      <c r="B123" s="7" t="s">
        <v>296</v>
      </c>
      <c r="C123" s="10">
        <v>51174.89973</v>
      </c>
      <c r="D123" s="9">
        <v>86.4503283569581</v>
      </c>
    </row>
    <row r="124" ht="13.5" customHeight="1">
      <c r="A124" s="7" t="s">
        <v>299</v>
      </c>
      <c r="B124" s="7" t="s">
        <v>300</v>
      </c>
      <c r="C124" s="10">
        <v>41415.46706</v>
      </c>
      <c r="D124" s="9">
        <v>82.9656602961492</v>
      </c>
    </row>
    <row r="125" ht="13.5" customHeight="1">
      <c r="A125" s="7" t="s">
        <v>301</v>
      </c>
      <c r="B125" s="7" t="s">
        <v>302</v>
      </c>
      <c r="C125" s="10">
        <v>2290.31992</v>
      </c>
      <c r="D125" s="9">
        <v>35.2896936211602</v>
      </c>
    </row>
    <row r="126" ht="13.5" customHeight="1">
      <c r="A126" s="7" t="s">
        <v>303</v>
      </c>
      <c r="B126" s="7" t="s">
        <v>304</v>
      </c>
      <c r="C126" s="10">
        <v>589.0856433</v>
      </c>
      <c r="D126" s="9">
        <v>12.9273989784097</v>
      </c>
    </row>
    <row r="127" ht="13.5" customHeight="1">
      <c r="A127" s="7" t="s">
        <v>305</v>
      </c>
      <c r="B127" s="7" t="s">
        <v>306</v>
      </c>
      <c r="C127" s="10">
        <v>2324.597024</v>
      </c>
      <c r="D127" s="9">
        <v>35.5343377062188</v>
      </c>
    </row>
    <row r="128" ht="13.5" customHeight="1">
      <c r="A128" s="7" t="s">
        <v>311</v>
      </c>
      <c r="B128" s="7" t="s">
        <v>312</v>
      </c>
      <c r="C128" s="10">
        <v>6628.846866</v>
      </c>
      <c r="D128" s="9">
        <v>52.7915158016314</v>
      </c>
    </row>
    <row r="129" ht="13.5" customHeight="1">
      <c r="A129" s="7" t="s">
        <v>313</v>
      </c>
      <c r="B129" s="7" t="s">
        <v>314</v>
      </c>
      <c r="C129" s="10">
        <v>83487.13323</v>
      </c>
      <c r="D129" s="9">
        <v>94.5107719171752</v>
      </c>
    </row>
    <row r="130" ht="13.5" customHeight="1">
      <c r="A130" s="7" t="s">
        <v>315</v>
      </c>
      <c r="B130" s="7" t="s">
        <v>316</v>
      </c>
      <c r="C130" s="10">
        <v>17347.29113</v>
      </c>
      <c r="D130" s="9">
        <v>68.6343931648562</v>
      </c>
    </row>
    <row r="131" ht="13.5" customHeight="1">
      <c r="A131" s="7" t="s">
        <v>317</v>
      </c>
      <c r="B131" s="7" t="s">
        <v>318</v>
      </c>
      <c r="C131" s="10">
        <v>1635.087312</v>
      </c>
      <c r="D131" s="9">
        <v>29.7398549756188</v>
      </c>
    </row>
    <row r="132" ht="13.5" customHeight="1">
      <c r="A132" s="7" t="s">
        <v>321</v>
      </c>
      <c r="B132" s="7" t="s">
        <v>322</v>
      </c>
      <c r="C132" s="10">
        <v>17122.71688</v>
      </c>
      <c r="D132" s="9">
        <v>68.4198023054372</v>
      </c>
    </row>
    <row r="133" ht="13.5" customHeight="1">
      <c r="A133" s="7" t="s">
        <v>323</v>
      </c>
      <c r="B133" s="7" t="s">
        <v>324</v>
      </c>
      <c r="C133" s="10">
        <v>2566.910671</v>
      </c>
      <c r="D133" s="9">
        <v>37.1673041537009</v>
      </c>
    </row>
    <row r="134" ht="13.5" customHeight="1">
      <c r="A134" s="7" t="s">
        <v>325</v>
      </c>
      <c r="B134" s="7" t="s">
        <v>326</v>
      </c>
      <c r="C134" s="10">
        <v>6670.699566</v>
      </c>
      <c r="D134" s="9">
        <v>52.8951670613585</v>
      </c>
    </row>
    <row r="135" ht="13.5" customHeight="1">
      <c r="A135" s="7" t="s">
        <v>327</v>
      </c>
      <c r="B135" s="7" t="s">
        <v>328</v>
      </c>
      <c r="C135" s="10">
        <v>6732.277738</v>
      </c>
      <c r="D135" s="9">
        <v>53.0464935889185</v>
      </c>
    </row>
    <row r="136" ht="13.5" customHeight="1">
      <c r="A136" s="7" t="s">
        <v>329</v>
      </c>
      <c r="B136" s="7" t="s">
        <v>330</v>
      </c>
      <c r="C136" s="10">
        <v>3926.149009</v>
      </c>
      <c r="D136" s="9">
        <v>44.1657308259076</v>
      </c>
    </row>
    <row r="137" ht="13.5" customHeight="1">
      <c r="A137" s="7" t="s">
        <v>331</v>
      </c>
      <c r="B137" s="7" t="s">
        <v>332</v>
      </c>
      <c r="C137" s="10">
        <v>18000.50346</v>
      </c>
      <c r="D137" s="9">
        <v>69.2431277764139</v>
      </c>
    </row>
    <row r="138" ht="13.5" customHeight="1">
      <c r="A138" s="7" t="s">
        <v>333</v>
      </c>
      <c r="B138" s="7" t="s">
        <v>334</v>
      </c>
      <c r="C138" s="10">
        <v>22663.99313</v>
      </c>
      <c r="D138" s="9">
        <v>73.0371249520314</v>
      </c>
    </row>
    <row r="139" ht="13.5" customHeight="1">
      <c r="A139" s="7" t="s">
        <v>337</v>
      </c>
      <c r="B139" s="7" t="s">
        <v>338</v>
      </c>
      <c r="C139" s="10">
        <v>62395.31133</v>
      </c>
      <c r="D139" s="9">
        <v>89.7150781290715</v>
      </c>
    </row>
    <row r="140" ht="13.5" customHeight="1">
      <c r="A140" s="7" t="s">
        <v>381</v>
      </c>
      <c r="B140" s="7" t="s">
        <v>474</v>
      </c>
      <c r="C140" s="10">
        <v>37048.4264</v>
      </c>
      <c r="D140" s="9">
        <v>81.1305891017992</v>
      </c>
    </row>
    <row r="141" ht="13.5" customHeight="1">
      <c r="A141" s="7" t="s">
        <v>277</v>
      </c>
      <c r="B141" s="7" t="s">
        <v>475</v>
      </c>
      <c r="C141" s="10">
        <v>3855.569404</v>
      </c>
      <c r="D141" s="9">
        <v>43.8669848102011</v>
      </c>
    </row>
    <row r="142" ht="13.5" customHeight="1">
      <c r="A142" s="7" t="s">
        <v>339</v>
      </c>
      <c r="B142" s="7" t="s">
        <v>340</v>
      </c>
      <c r="C142" s="10">
        <v>12459.91121</v>
      </c>
      <c r="D142" s="9">
        <v>63.1846066595015</v>
      </c>
    </row>
    <row r="143" ht="13.5" customHeight="1">
      <c r="A143" s="7" t="s">
        <v>341</v>
      </c>
      <c r="B143" s="7" t="s">
        <v>476</v>
      </c>
      <c r="C143" s="10">
        <v>11092.63379</v>
      </c>
      <c r="D143" s="9">
        <v>61.2703777090976</v>
      </c>
    </row>
    <row r="144" ht="13.5" customHeight="1">
      <c r="A144" s="7" t="s">
        <v>343</v>
      </c>
      <c r="B144" s="7" t="s">
        <v>344</v>
      </c>
      <c r="C144" s="10">
        <v>1043.159615</v>
      </c>
      <c r="D144" s="9">
        <v>22.3381773609743</v>
      </c>
    </row>
    <row r="145" ht="13.5" customHeight="1">
      <c r="A145" s="7" t="s">
        <v>347</v>
      </c>
      <c r="B145" s="7" t="s">
        <v>348</v>
      </c>
      <c r="C145" s="10">
        <v>21692.24064</v>
      </c>
      <c r="D145" s="9">
        <v>72.3154244716037</v>
      </c>
    </row>
    <row r="146" ht="13.5" customHeight="1">
      <c r="A146" s="7" t="s">
        <v>349</v>
      </c>
      <c r="B146" s="7" t="s">
        <v>350</v>
      </c>
      <c r="C146" s="10">
        <v>12190.79709</v>
      </c>
      <c r="D146" s="9">
        <v>62.8250139835724</v>
      </c>
    </row>
    <row r="147" ht="13.5" customHeight="1">
      <c r="A147" s="7" t="s">
        <v>353</v>
      </c>
      <c r="B147" s="7" t="s">
        <v>477</v>
      </c>
      <c r="C147" s="10">
        <v>9485.187712</v>
      </c>
      <c r="D147" s="9">
        <v>58.6922215351056</v>
      </c>
    </row>
    <row r="148" ht="13.5" customHeight="1">
      <c r="A148" s="7" t="s">
        <v>355</v>
      </c>
      <c r="B148" s="7" t="s">
        <v>356</v>
      </c>
      <c r="C148" s="10">
        <v>4880.54418</v>
      </c>
      <c r="D148" s="9">
        <v>47.7492584649993</v>
      </c>
    </row>
    <row r="149" ht="13.5" customHeight="1">
      <c r="A149" s="7" t="s">
        <v>357</v>
      </c>
      <c r="B149" s="7" t="s">
        <v>358</v>
      </c>
      <c r="C149" s="10">
        <v>1373.270821</v>
      </c>
      <c r="D149" s="9">
        <v>26.8660714471978</v>
      </c>
    </row>
    <row r="150" ht="13.5" customHeight="1">
      <c r="A150" s="7" t="s">
        <v>359</v>
      </c>
      <c r="B150" s="7" t="s">
        <v>360</v>
      </c>
      <c r="C150" s="10">
        <v>25123.01221</v>
      </c>
      <c r="D150" s="9">
        <v>74.7335018494706</v>
      </c>
    </row>
    <row r="151" ht="13.5" customHeight="1">
      <c r="A151" s="7" t="s">
        <v>361</v>
      </c>
      <c r="B151" s="7" t="s">
        <v>362</v>
      </c>
      <c r="C151" s="10">
        <v>1517.618388</v>
      </c>
      <c r="D151" s="9">
        <v>28.512056314518</v>
      </c>
    </row>
    <row r="152" ht="13.5" customHeight="1">
      <c r="A152" s="7" t="s">
        <v>363</v>
      </c>
      <c r="B152" s="7" t="s">
        <v>364</v>
      </c>
      <c r="C152" s="10">
        <v>8580.261058</v>
      </c>
      <c r="D152" s="9">
        <v>57.0409641962084</v>
      </c>
    </row>
    <row r="153" ht="13.5" customHeight="1">
      <c r="A153" s="7" t="s">
        <v>365</v>
      </c>
      <c r="B153" s="7" t="s">
        <v>366</v>
      </c>
      <c r="C153" s="10">
        <v>16612.63749</v>
      </c>
      <c r="D153" s="9">
        <v>67.9217532751665</v>
      </c>
    </row>
    <row r="154" ht="13.5" customHeight="1">
      <c r="A154" s="7" t="s">
        <v>367</v>
      </c>
      <c r="B154" s="7" t="s">
        <v>368</v>
      </c>
      <c r="C154" s="10">
        <v>1137.290056</v>
      </c>
      <c r="D154" s="9">
        <v>23.760966491236</v>
      </c>
    </row>
    <row r="155" ht="13.5" customHeight="1">
      <c r="A155" s="7" t="s">
        <v>369</v>
      </c>
      <c r="B155" s="7" t="s">
        <v>370</v>
      </c>
      <c r="C155" s="10">
        <v>68129.69604</v>
      </c>
      <c r="D155" s="9">
        <v>91.1630470775635</v>
      </c>
    </row>
    <row r="156" ht="13.5" customHeight="1">
      <c r="A156" s="7" t="s">
        <v>371</v>
      </c>
      <c r="B156" s="7" t="s">
        <v>372</v>
      </c>
      <c r="C156" s="10">
        <v>19776.17581</v>
      </c>
      <c r="D156" s="9">
        <v>70.7924641133933</v>
      </c>
    </row>
    <row r="157" ht="13.5" customHeight="1">
      <c r="A157" s="7" t="s">
        <v>373</v>
      </c>
      <c r="B157" s="7" t="s">
        <v>374</v>
      </c>
      <c r="C157" s="10">
        <v>26134.6272</v>
      </c>
      <c r="D157" s="9">
        <v>75.3836308681316</v>
      </c>
    </row>
    <row r="158" ht="13.5" customHeight="1">
      <c r="A158" s="7" t="s">
        <v>375</v>
      </c>
      <c r="B158" s="7" t="s">
        <v>478</v>
      </c>
      <c r="C158" s="10">
        <v>1806.383673</v>
      </c>
      <c r="D158" s="9">
        <v>31.3806319812921</v>
      </c>
    </row>
    <row r="159" ht="13.5" customHeight="1">
      <c r="A159" s="7" t="s">
        <v>377</v>
      </c>
      <c r="B159" s="7" t="s">
        <v>378</v>
      </c>
      <c r="C159" s="10">
        <v>467.2699102</v>
      </c>
      <c r="D159" s="9">
        <v>9.11221019990712</v>
      </c>
    </row>
    <row r="160" ht="13.5" customHeight="1">
      <c r="A160" s="7" t="s">
        <v>379</v>
      </c>
      <c r="B160" s="7" t="s">
        <v>380</v>
      </c>
      <c r="C160" s="10">
        <v>5715.475315</v>
      </c>
      <c r="D160" s="9">
        <v>50.3499908682046</v>
      </c>
    </row>
    <row r="161" ht="13.5" customHeight="1">
      <c r="A161" s="7" t="s">
        <v>385</v>
      </c>
      <c r="B161" s="7" t="s">
        <v>386</v>
      </c>
      <c r="C161" s="10">
        <v>29245.21925</v>
      </c>
      <c r="D161" s="9">
        <v>77.23560600587</v>
      </c>
    </row>
    <row r="162" ht="13.5" customHeight="1">
      <c r="A162" s="7" t="s">
        <v>387</v>
      </c>
      <c r="B162" s="7" t="s">
        <v>388</v>
      </c>
      <c r="C162" s="10">
        <v>4198.745137</v>
      </c>
      <c r="D162" s="9">
        <v>45.2712123945854</v>
      </c>
    </row>
    <row r="163" ht="13.5" customHeight="1">
      <c r="A163" s="7" t="s">
        <v>319</v>
      </c>
      <c r="B163" s="7" t="s">
        <v>479</v>
      </c>
      <c r="C163" s="10">
        <v>2258.206987</v>
      </c>
      <c r="D163" s="9">
        <v>35.0571508082089</v>
      </c>
    </row>
    <row r="164" ht="13.5" customHeight="1">
      <c r="A164" s="7" t="s">
        <v>389</v>
      </c>
      <c r="B164" s="7" t="s">
        <v>390</v>
      </c>
      <c r="C164" s="10">
        <v>578.3891602</v>
      </c>
      <c r="D164" s="9">
        <v>12.6256178027451</v>
      </c>
    </row>
    <row r="165" ht="13.5" customHeight="1">
      <c r="A165" s="7" t="s">
        <v>391</v>
      </c>
      <c r="B165" s="7" t="s">
        <v>392</v>
      </c>
      <c r="C165" s="10">
        <v>7246.257682</v>
      </c>
      <c r="D165" s="9">
        <v>54.2581147102309</v>
      </c>
    </row>
    <row r="166" ht="13.5" customHeight="1">
      <c r="A166" s="7" t="s">
        <v>393</v>
      </c>
      <c r="B166" s="7" t="s">
        <v>394</v>
      </c>
      <c r="C166" s="10">
        <v>54316.26193</v>
      </c>
      <c r="D166" s="9">
        <v>87.4314364536735</v>
      </c>
    </row>
    <row r="167" ht="13.5" customHeight="1">
      <c r="A167" s="7" t="s">
        <v>395</v>
      </c>
      <c r="B167" s="7" t="s">
        <v>396</v>
      </c>
      <c r="C167" s="10">
        <v>93018.37687</v>
      </c>
      <c r="D167" s="9">
        <v>96.2911017447963</v>
      </c>
    </row>
    <row r="168" ht="13.5" customHeight="1">
      <c r="A168" s="7" t="s">
        <v>401</v>
      </c>
      <c r="B168" s="7" t="s">
        <v>402</v>
      </c>
      <c r="C168" s="10">
        <v>1496.338134</v>
      </c>
      <c r="D168" s="9">
        <v>28.2794971053876</v>
      </c>
    </row>
    <row r="169" ht="13.5" customHeight="1">
      <c r="A169" s="7" t="s">
        <v>405</v>
      </c>
      <c r="B169" s="7" t="s">
        <v>406</v>
      </c>
      <c r="C169" s="10">
        <v>6616.585393</v>
      </c>
      <c r="D169" s="9">
        <v>52.7610254007113</v>
      </c>
    </row>
    <row r="170" ht="13.5" customHeight="1">
      <c r="A170" s="7" t="s">
        <v>409</v>
      </c>
      <c r="B170" s="7" t="s">
        <v>410</v>
      </c>
      <c r="C170" s="10">
        <v>1149.21889</v>
      </c>
      <c r="D170" s="9">
        <v>23.9328030358152</v>
      </c>
    </row>
    <row r="171" ht="13.5" customHeight="1">
      <c r="A171" s="7" t="s">
        <v>411</v>
      </c>
      <c r="B171" s="7" t="s">
        <v>412</v>
      </c>
      <c r="C171" s="10">
        <v>1053.816538</v>
      </c>
      <c r="D171" s="9">
        <v>22.505567001131</v>
      </c>
    </row>
    <row r="172" ht="13.5" customHeight="1">
      <c r="A172" s="7" t="s">
        <v>413</v>
      </c>
      <c r="B172" s="7" t="s">
        <v>414</v>
      </c>
      <c r="C172" s="10">
        <v>4779.923999</v>
      </c>
      <c r="D172" s="9">
        <v>47.4061834221517</v>
      </c>
    </row>
    <row r="173" ht="13.5" customHeight="1">
      <c r="A173" s="7" t="s">
        <v>415</v>
      </c>
      <c r="B173" s="7" t="s">
        <v>416</v>
      </c>
      <c r="C173" s="10">
        <v>16312.48496</v>
      </c>
      <c r="D173" s="9">
        <v>67.621482447258</v>
      </c>
    </row>
    <row r="174" ht="13.5" customHeight="1">
      <c r="A174" s="7" t="s">
        <v>417</v>
      </c>
      <c r="B174" s="7" t="s">
        <v>418</v>
      </c>
      <c r="C174" s="10">
        <v>4006.205883</v>
      </c>
      <c r="D174" s="9">
        <v>44.4981589344584</v>
      </c>
    </row>
    <row r="175" ht="13.5" customHeight="1">
      <c r="A175" s="7" t="s">
        <v>421</v>
      </c>
      <c r="B175" s="7" t="s">
        <v>422</v>
      </c>
      <c r="C175" s="10">
        <v>8229.672611</v>
      </c>
      <c r="D175" s="9">
        <v>56.3539256839685</v>
      </c>
    </row>
    <row r="176" ht="13.5" customHeight="1">
      <c r="A176" s="7" t="s">
        <v>419</v>
      </c>
      <c r="B176" s="7" t="s">
        <v>480</v>
      </c>
      <c r="C176" s="10">
        <v>15395.02789</v>
      </c>
      <c r="D176" s="9">
        <v>66.6681786534786</v>
      </c>
    </row>
    <row r="177" ht="13.5" customHeight="1">
      <c r="A177" s="7" t="s">
        <v>435</v>
      </c>
      <c r="B177" s="7" t="s">
        <v>435</v>
      </c>
      <c r="C177" s="10">
        <v>66856.51317</v>
      </c>
      <c r="D177" s="9">
        <v>90.8523760419526</v>
      </c>
    </row>
    <row r="178" ht="13.5" customHeight="1">
      <c r="A178" s="7" t="s">
        <v>427</v>
      </c>
      <c r="B178" s="7" t="s">
        <v>428</v>
      </c>
      <c r="C178" s="10">
        <v>986.0901454</v>
      </c>
      <c r="D178" s="9">
        <v>21.4116262710083</v>
      </c>
    </row>
    <row r="179" ht="13.5" customHeight="1">
      <c r="A179" s="7" t="s">
        <v>429</v>
      </c>
      <c r="B179" s="7" t="s">
        <v>430</v>
      </c>
      <c r="C179" s="10">
        <v>2226.058105</v>
      </c>
      <c r="D179" s="9">
        <v>34.821011363495</v>
      </c>
    </row>
    <row r="180" ht="13.5" customHeight="1">
      <c r="A180" s="7" t="s">
        <v>431</v>
      </c>
      <c r="B180" s="7" t="s">
        <v>432</v>
      </c>
      <c r="C180" s="10">
        <v>41605.41387</v>
      </c>
      <c r="D180" s="9">
        <v>83.0410187406453</v>
      </c>
    </row>
    <row r="181" ht="13.5" customHeight="1">
      <c r="A181" s="7" t="s">
        <v>433</v>
      </c>
      <c r="B181" s="7" t="s">
        <v>434</v>
      </c>
      <c r="C181" s="10">
        <v>47900.96801</v>
      </c>
      <c r="D181" s="9">
        <v>85.3615326879905</v>
      </c>
    </row>
    <row r="182" ht="13.5" customHeight="1">
      <c r="A182" s="7" t="s">
        <v>403</v>
      </c>
      <c r="B182" s="7" t="s">
        <v>481</v>
      </c>
      <c r="C182" s="10">
        <v>1120.77417</v>
      </c>
      <c r="D182" s="9">
        <v>23.5200537155043</v>
      </c>
    </row>
    <row r="183" ht="13.5" customHeight="1">
      <c r="A183" s="7" t="s">
        <v>437</v>
      </c>
      <c r="B183" s="7" t="s">
        <v>438</v>
      </c>
      <c r="C183" s="10">
        <v>19024.12043</v>
      </c>
      <c r="D183" s="9">
        <v>70.1539717943013</v>
      </c>
    </row>
    <row r="184" ht="13.5" customHeight="1">
      <c r="A184" s="7" t="s">
        <v>439</v>
      </c>
      <c r="B184" s="7" t="s">
        <v>440</v>
      </c>
      <c r="C184" s="10">
        <v>4477.907455</v>
      </c>
      <c r="D184" s="9">
        <v>46.3312981775508</v>
      </c>
    </row>
    <row r="185" ht="13.5" customHeight="1">
      <c r="A185" s="7" t="s">
        <v>441</v>
      </c>
      <c r="B185" s="7" t="s">
        <v>442</v>
      </c>
      <c r="C185" s="10">
        <v>3223.85238</v>
      </c>
      <c r="D185" s="9">
        <v>40.9200672910539</v>
      </c>
    </row>
    <row r="186" ht="13.5" customHeight="1">
      <c r="A186" s="7" t="s">
        <v>443</v>
      </c>
      <c r="B186" s="7" t="s">
        <v>444</v>
      </c>
      <c r="C186" s="10">
        <v>1501.222079</v>
      </c>
      <c r="D186" s="9">
        <v>28.3331619324055</v>
      </c>
    </row>
    <row r="187" ht="13.5" customHeight="1">
      <c r="A187" s="7" t="s">
        <v>445</v>
      </c>
      <c r="B187" s="7" t="s">
        <v>482</v>
      </c>
      <c r="C187" s="10">
        <v>4012.507799</v>
      </c>
      <c r="D187" s="9">
        <v>44.5240443113894</v>
      </c>
    </row>
    <row r="188" ht="13.5" customHeight="1">
      <c r="A188" s="7" t="s">
        <v>449</v>
      </c>
      <c r="B188" s="7" t="s">
        <v>450</v>
      </c>
      <c r="C188" s="10">
        <v>1343.389664</v>
      </c>
      <c r="D188" s="9">
        <v>26.5037733449151</v>
      </c>
    </row>
    <row r="189" ht="13.5" customHeight="1">
      <c r="A189" s="7" t="s">
        <v>451</v>
      </c>
      <c r="B189" s="7" t="s">
        <v>452</v>
      </c>
      <c r="C189" s="10">
        <v>1416.800655</v>
      </c>
      <c r="D189" s="9">
        <v>27.379988967538</v>
      </c>
    </row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30.0"/>
    <col customWidth="1" min="3" max="6" width="16.0"/>
    <col customWidth="1" min="7" max="7" width="23.71"/>
    <col customWidth="1" min="8" max="8" width="34.0"/>
    <col customWidth="1" min="9" max="26" width="8.86"/>
  </cols>
  <sheetData>
    <row r="1" ht="31.5" customHeight="1">
      <c r="A1" s="11" t="s">
        <v>30</v>
      </c>
      <c r="B1" s="11" t="s">
        <v>31</v>
      </c>
      <c r="C1" s="11" t="s">
        <v>32</v>
      </c>
      <c r="D1" s="11" t="s">
        <v>453</v>
      </c>
      <c r="E1" s="11" t="s">
        <v>456</v>
      </c>
      <c r="F1" s="11" t="s">
        <v>484</v>
      </c>
      <c r="G1" s="11" t="s">
        <v>485</v>
      </c>
      <c r="H1" s="11" t="s">
        <v>486</v>
      </c>
    </row>
    <row r="2" ht="13.5" customHeight="1">
      <c r="A2" s="12" t="s">
        <v>33</v>
      </c>
      <c r="B2" s="12" t="s">
        <v>34</v>
      </c>
      <c r="C2" s="13">
        <v>89.1337914224883</v>
      </c>
      <c r="D2" s="13">
        <v>43.4500072</v>
      </c>
      <c r="E2" s="13">
        <v>39.7653719919693</v>
      </c>
      <c r="F2" s="13">
        <v>5.46203612566071</v>
      </c>
      <c r="G2" s="5" t="s">
        <v>487</v>
      </c>
      <c r="H2" s="14"/>
    </row>
    <row r="3" ht="13.5" customHeight="1">
      <c r="A3" s="12" t="s">
        <v>35</v>
      </c>
      <c r="B3" s="12" t="s">
        <v>36</v>
      </c>
      <c r="C3" s="13">
        <v>95.9316529144539</v>
      </c>
      <c r="D3" s="13">
        <v>70.49559377</v>
      </c>
      <c r="E3" s="13">
        <v>85.7615537822748</v>
      </c>
      <c r="F3" s="13">
        <v>52.5925293232642</v>
      </c>
      <c r="G3" s="5" t="s">
        <v>487</v>
      </c>
      <c r="H3" s="14"/>
    </row>
    <row r="4" ht="13.5" customHeight="1">
      <c r="A4" s="12" t="s">
        <v>37</v>
      </c>
      <c r="B4" s="12" t="s">
        <v>38</v>
      </c>
      <c r="C4" s="13">
        <v>98.943858998437</v>
      </c>
      <c r="D4" s="13">
        <v>53.45418502</v>
      </c>
      <c r="E4" s="13">
        <v>100.0</v>
      </c>
      <c r="F4" s="13">
        <v>47.3572036813205</v>
      </c>
      <c r="G4" s="5" t="s">
        <v>487</v>
      </c>
      <c r="H4" s="14"/>
    </row>
    <row r="5" ht="13.5" customHeight="1">
      <c r="A5" s="12" t="s">
        <v>41</v>
      </c>
      <c r="B5" s="12" t="s">
        <v>42</v>
      </c>
      <c r="C5" s="13">
        <v>97.1698750376941</v>
      </c>
      <c r="D5" s="13">
        <v>50.18949343</v>
      </c>
      <c r="E5" s="13">
        <v>100.0</v>
      </c>
      <c r="F5" s="13">
        <v>38.5904215088849</v>
      </c>
      <c r="G5" s="5" t="s">
        <v>487</v>
      </c>
      <c r="H5" s="14"/>
    </row>
    <row r="6" ht="13.5" customHeight="1">
      <c r="A6" s="12" t="s">
        <v>43</v>
      </c>
      <c r="B6" s="12" t="s">
        <v>44</v>
      </c>
      <c r="C6" s="13">
        <v>92.8370916641414</v>
      </c>
      <c r="D6" s="13">
        <v>0.0</v>
      </c>
      <c r="E6" s="13">
        <v>40.1734079755723</v>
      </c>
      <c r="F6" s="13">
        <v>69.5190059510754</v>
      </c>
      <c r="G6" s="5" t="s">
        <v>487</v>
      </c>
      <c r="H6" s="14"/>
    </row>
    <row r="7" ht="13.5" customHeight="1">
      <c r="A7" s="12" t="s">
        <v>45</v>
      </c>
      <c r="B7" s="12" t="s">
        <v>46</v>
      </c>
      <c r="C7" s="13">
        <v>86.492031546978</v>
      </c>
      <c r="D7" s="13">
        <v>74.30902191</v>
      </c>
      <c r="E7" s="13">
        <v>100.0</v>
      </c>
      <c r="F7" s="13">
        <v>63.5950520685883</v>
      </c>
      <c r="G7" s="5" t="s">
        <v>487</v>
      </c>
      <c r="H7" s="14"/>
    </row>
    <row r="8" ht="13.5" customHeight="1">
      <c r="A8" s="12" t="s">
        <v>47</v>
      </c>
      <c r="B8" s="12" t="s">
        <v>48</v>
      </c>
      <c r="C8" s="13">
        <v>90.2230047060617</v>
      </c>
      <c r="D8" s="13">
        <v>73.52958976</v>
      </c>
      <c r="E8" s="13">
        <v>46.5907958979981</v>
      </c>
      <c r="F8" s="13">
        <v>49.3486711195421</v>
      </c>
      <c r="G8" s="5" t="s">
        <v>487</v>
      </c>
      <c r="H8" s="14"/>
    </row>
    <row r="9" ht="13.5" customHeight="1">
      <c r="A9" s="12" t="s">
        <v>49</v>
      </c>
      <c r="B9" s="12" t="s">
        <v>50</v>
      </c>
      <c r="C9" s="13">
        <v>83.3422036183714</v>
      </c>
      <c r="D9" s="13">
        <v>8.125138429</v>
      </c>
      <c r="E9" s="13">
        <v>35.6361329294362</v>
      </c>
      <c r="F9" s="13">
        <v>79.6869121442737</v>
      </c>
      <c r="G9" s="5" t="s">
        <v>487</v>
      </c>
      <c r="H9" s="14"/>
    </row>
    <row r="10" ht="13.5" customHeight="1">
      <c r="A10" s="12" t="s">
        <v>51</v>
      </c>
      <c r="B10" s="12" t="s">
        <v>52</v>
      </c>
      <c r="C10" s="13">
        <v>66.9946371539043</v>
      </c>
      <c r="D10" s="13">
        <v>86.30510293</v>
      </c>
      <c r="E10" s="13">
        <v>100.0</v>
      </c>
      <c r="F10" s="13">
        <v>89.4734110300039</v>
      </c>
      <c r="G10" s="5" t="s">
        <v>487</v>
      </c>
      <c r="H10" s="14"/>
    </row>
    <row r="11" ht="13.5" customHeight="1">
      <c r="A11" s="12" t="s">
        <v>53</v>
      </c>
      <c r="B11" s="12" t="s">
        <v>54</v>
      </c>
      <c r="C11" s="13">
        <v>82.3645817764699</v>
      </c>
      <c r="D11" s="13">
        <v>82.96914701</v>
      </c>
      <c r="E11" s="13">
        <v>59.8993260482428</v>
      </c>
      <c r="F11" s="13">
        <v>84.6799004757374</v>
      </c>
      <c r="G11" s="5" t="s">
        <v>487</v>
      </c>
      <c r="H11" s="14"/>
    </row>
    <row r="12" ht="13.5" customHeight="1">
      <c r="A12" s="12" t="s">
        <v>55</v>
      </c>
      <c r="B12" s="12" t="s">
        <v>56</v>
      </c>
      <c r="C12" s="13">
        <v>99.3998089119435</v>
      </c>
      <c r="D12" s="13">
        <v>58.37983323</v>
      </c>
      <c r="E12" s="13">
        <v>100.0</v>
      </c>
      <c r="F12" s="13">
        <v>50.8062434173233</v>
      </c>
      <c r="G12" s="5" t="s">
        <v>487</v>
      </c>
      <c r="H12" s="14"/>
    </row>
    <row r="13" ht="13.5" customHeight="1">
      <c r="A13" s="12" t="s">
        <v>407</v>
      </c>
      <c r="B13" s="12" t="s">
        <v>457</v>
      </c>
      <c r="C13" s="13">
        <v>99.0425982812102</v>
      </c>
      <c r="D13" s="13">
        <v>0.0</v>
      </c>
      <c r="E13" s="13">
        <v>41.608835550613</v>
      </c>
      <c r="F13" s="13">
        <v>79.7010988837239</v>
      </c>
      <c r="G13" s="5" t="s">
        <v>487</v>
      </c>
      <c r="H13" s="14"/>
    </row>
    <row r="14" ht="13.5" customHeight="1">
      <c r="A14" s="12" t="s">
        <v>57</v>
      </c>
      <c r="B14" s="12" t="s">
        <v>58</v>
      </c>
      <c r="C14" s="13">
        <v>99.7163787555025</v>
      </c>
      <c r="D14" s="13">
        <v>35.26765216</v>
      </c>
      <c r="E14" s="13">
        <v>100.0</v>
      </c>
      <c r="F14" s="13">
        <v>75.2263620511827</v>
      </c>
      <c r="G14" s="5" t="s">
        <v>487</v>
      </c>
      <c r="H14" s="14"/>
    </row>
    <row r="15" ht="13.5" customHeight="1">
      <c r="A15" s="12" t="s">
        <v>59</v>
      </c>
      <c r="B15" s="12" t="s">
        <v>60</v>
      </c>
      <c r="C15" s="13">
        <v>98.7990130135067</v>
      </c>
      <c r="D15" s="13">
        <v>77.69104941</v>
      </c>
      <c r="E15" s="13">
        <v>62.4519488292087</v>
      </c>
      <c r="F15" s="13">
        <v>32.5667005061902</v>
      </c>
      <c r="G15" s="5" t="s">
        <v>487</v>
      </c>
      <c r="H15" s="14"/>
    </row>
    <row r="16" ht="13.5" customHeight="1">
      <c r="A16" s="12" t="s">
        <v>61</v>
      </c>
      <c r="B16" s="12" t="s">
        <v>62</v>
      </c>
      <c r="C16" s="13">
        <v>91.1284004109668</v>
      </c>
      <c r="D16" s="13">
        <v>8.298654213</v>
      </c>
      <c r="E16" s="13">
        <v>49.7838915543377</v>
      </c>
      <c r="F16" s="13">
        <v>72.8599945001148</v>
      </c>
      <c r="G16" s="5" t="s">
        <v>487</v>
      </c>
      <c r="H16" s="14"/>
    </row>
    <row r="17" ht="13.5" customHeight="1">
      <c r="A17" s="12" t="s">
        <v>63</v>
      </c>
      <c r="B17" s="12" t="s">
        <v>64</v>
      </c>
      <c r="C17" s="13">
        <v>98.9871374943402</v>
      </c>
      <c r="D17" s="13">
        <v>73.79324037</v>
      </c>
      <c r="E17" s="13">
        <v>56.1217305541521</v>
      </c>
      <c r="F17" s="13">
        <v>53.2460325674527</v>
      </c>
      <c r="G17" s="5" t="s">
        <v>487</v>
      </c>
      <c r="H17" s="14"/>
    </row>
    <row r="18" ht="13.5" customHeight="1">
      <c r="A18" s="12" t="s">
        <v>65</v>
      </c>
      <c r="B18" s="12" t="s">
        <v>66</v>
      </c>
      <c r="C18" s="13">
        <v>68.9215848794817</v>
      </c>
      <c r="D18" s="13">
        <v>79.3187482</v>
      </c>
      <c r="E18" s="13">
        <v>53.0478847362197</v>
      </c>
      <c r="F18" s="13">
        <v>84.339894208147</v>
      </c>
      <c r="G18" s="5" t="s">
        <v>487</v>
      </c>
      <c r="H18" s="14"/>
    </row>
    <row r="19" ht="13.5" customHeight="1">
      <c r="A19" s="12" t="s">
        <v>67</v>
      </c>
      <c r="B19" s="12" t="s">
        <v>68</v>
      </c>
      <c r="C19" s="13">
        <v>97.4339915770047</v>
      </c>
      <c r="D19" s="13">
        <v>46.54717042</v>
      </c>
      <c r="E19" s="13">
        <v>54.2175135649105</v>
      </c>
      <c r="F19" s="13">
        <v>51.9287027284683</v>
      </c>
      <c r="G19" s="5" t="s">
        <v>487</v>
      </c>
      <c r="H19" s="14"/>
    </row>
    <row r="20" ht="13.5" customHeight="1">
      <c r="A20" s="12" t="s">
        <v>69</v>
      </c>
      <c r="B20" s="12" t="s">
        <v>70</v>
      </c>
      <c r="C20" s="13">
        <v>96.2574719830311</v>
      </c>
      <c r="D20" s="13">
        <v>30.44144211</v>
      </c>
      <c r="E20" s="13">
        <v>37.5738819869525</v>
      </c>
      <c r="F20" s="13">
        <v>26.2740817179411</v>
      </c>
      <c r="G20" s="5" t="s">
        <v>487</v>
      </c>
      <c r="H20" s="14"/>
    </row>
    <row r="21" ht="13.5" customHeight="1">
      <c r="A21" s="12" t="s">
        <v>71</v>
      </c>
      <c r="B21" s="12" t="s">
        <v>72</v>
      </c>
      <c r="C21" s="13">
        <v>100.0</v>
      </c>
      <c r="D21" s="13">
        <v>0.0</v>
      </c>
      <c r="E21" s="13">
        <v>42.2811715330861</v>
      </c>
      <c r="F21" s="13">
        <v>100.0</v>
      </c>
      <c r="G21" s="5" t="s">
        <v>487</v>
      </c>
      <c r="H21" s="14"/>
    </row>
    <row r="22" ht="13.5" customHeight="1">
      <c r="A22" s="12" t="s">
        <v>73</v>
      </c>
      <c r="B22" s="12" t="s">
        <v>74</v>
      </c>
      <c r="C22" s="13">
        <v>99.9909099207507</v>
      </c>
      <c r="D22" s="13">
        <v>51.22766823</v>
      </c>
      <c r="E22" s="13">
        <v>76.4829196705527</v>
      </c>
      <c r="F22" s="13">
        <v>43.2651372401169</v>
      </c>
      <c r="G22" s="5" t="s">
        <v>487</v>
      </c>
      <c r="H22" s="14"/>
    </row>
    <row r="23" ht="13.5" customHeight="1">
      <c r="A23" s="12" t="s">
        <v>75</v>
      </c>
      <c r="B23" s="12" t="s">
        <v>458</v>
      </c>
      <c r="C23" s="13">
        <v>93.5130203107963</v>
      </c>
      <c r="D23" s="13">
        <v>67.47594857</v>
      </c>
      <c r="E23" s="13">
        <v>100.0</v>
      </c>
      <c r="F23" s="13">
        <v>39.9834282103485</v>
      </c>
      <c r="G23" s="5" t="s">
        <v>487</v>
      </c>
      <c r="H23" s="14"/>
    </row>
    <row r="24" ht="13.5" customHeight="1">
      <c r="A24" s="12" t="s">
        <v>77</v>
      </c>
      <c r="B24" s="12" t="s">
        <v>459</v>
      </c>
      <c r="C24" s="13">
        <v>96.0988236805972</v>
      </c>
      <c r="D24" s="13">
        <v>58.29340859</v>
      </c>
      <c r="E24" s="13">
        <v>82.6573222045377</v>
      </c>
      <c r="F24" s="13">
        <v>53.0823549761994</v>
      </c>
      <c r="G24" s="5" t="s">
        <v>487</v>
      </c>
      <c r="H24" s="14"/>
    </row>
    <row r="25" ht="13.5" customHeight="1">
      <c r="A25" s="12" t="s">
        <v>79</v>
      </c>
      <c r="B25" s="12" t="s">
        <v>80</v>
      </c>
      <c r="C25" s="13">
        <v>99.8002648905913</v>
      </c>
      <c r="D25" s="13">
        <v>67.35262165</v>
      </c>
      <c r="E25" s="13">
        <v>78.1536856308319</v>
      </c>
      <c r="F25" s="13">
        <v>53.576220217415</v>
      </c>
      <c r="G25" s="5" t="s">
        <v>487</v>
      </c>
      <c r="H25" s="14"/>
    </row>
    <row r="26" ht="13.5" customHeight="1">
      <c r="A26" s="12" t="s">
        <v>81</v>
      </c>
      <c r="B26" s="12" t="s">
        <v>82</v>
      </c>
      <c r="C26" s="13">
        <v>76.3544474896173</v>
      </c>
      <c r="D26" s="13">
        <v>72.18048888</v>
      </c>
      <c r="E26" s="13">
        <v>100.0</v>
      </c>
      <c r="F26" s="13">
        <v>58.8332198368804</v>
      </c>
      <c r="G26" s="5" t="s">
        <v>487</v>
      </c>
      <c r="H26" s="14"/>
    </row>
    <row r="27" ht="13.5" customHeight="1">
      <c r="A27" s="12" t="s">
        <v>85</v>
      </c>
      <c r="B27" s="12" t="s">
        <v>460</v>
      </c>
      <c r="C27" s="13">
        <v>99.8972596589265</v>
      </c>
      <c r="D27" s="13">
        <v>50.8178892</v>
      </c>
      <c r="E27" s="13">
        <v>100.0</v>
      </c>
      <c r="F27" s="13">
        <v>77.4140734115707</v>
      </c>
      <c r="G27" s="5" t="s">
        <v>487</v>
      </c>
      <c r="H27" s="14"/>
    </row>
    <row r="28" ht="13.5" customHeight="1">
      <c r="A28" s="12" t="s">
        <v>87</v>
      </c>
      <c r="B28" s="12" t="s">
        <v>88</v>
      </c>
      <c r="C28" s="13">
        <v>82.4032509903095</v>
      </c>
      <c r="D28" s="13">
        <v>94.79265398</v>
      </c>
      <c r="E28" s="13">
        <v>72.9909638329033</v>
      </c>
      <c r="F28" s="13">
        <v>59.7711570644028</v>
      </c>
      <c r="G28" s="5" t="s">
        <v>487</v>
      </c>
      <c r="H28" s="14"/>
    </row>
    <row r="29" ht="13.5" customHeight="1">
      <c r="A29" s="12" t="s">
        <v>89</v>
      </c>
      <c r="B29" s="12" t="s">
        <v>90</v>
      </c>
      <c r="C29" s="13">
        <v>93.7014415326071</v>
      </c>
      <c r="D29" s="13">
        <v>17.73241256</v>
      </c>
      <c r="E29" s="13">
        <v>35.1850310971961</v>
      </c>
      <c r="F29" s="13">
        <v>17.2109518097251</v>
      </c>
      <c r="G29" s="5" t="s">
        <v>487</v>
      </c>
      <c r="H29" s="14"/>
    </row>
    <row r="30" ht="13.5" customHeight="1">
      <c r="A30" s="12" t="s">
        <v>93</v>
      </c>
      <c r="B30" s="12" t="s">
        <v>94</v>
      </c>
      <c r="C30" s="13">
        <v>99.5328256842466</v>
      </c>
      <c r="D30" s="13">
        <v>26.83863844</v>
      </c>
      <c r="E30" s="13">
        <v>40.1393985329312</v>
      </c>
      <c r="F30" s="13">
        <v>0.0</v>
      </c>
      <c r="G30" s="5" t="s">
        <v>487</v>
      </c>
      <c r="H30" s="14"/>
    </row>
    <row r="31" ht="13.5" customHeight="1">
      <c r="A31" s="12" t="s">
        <v>95</v>
      </c>
      <c r="B31" s="12" t="s">
        <v>96</v>
      </c>
      <c r="C31" s="13">
        <v>68.9335917444334</v>
      </c>
      <c r="D31" s="13">
        <v>12.34912036</v>
      </c>
      <c r="E31" s="13">
        <v>47.8212588208467</v>
      </c>
      <c r="F31" s="13">
        <v>46.1853084650082</v>
      </c>
      <c r="G31" s="5" t="s">
        <v>487</v>
      </c>
      <c r="H31" s="14"/>
    </row>
    <row r="32" ht="13.5" customHeight="1">
      <c r="A32" s="12" t="s">
        <v>97</v>
      </c>
      <c r="B32" s="12" t="s">
        <v>98</v>
      </c>
      <c r="C32" s="13">
        <v>94.930690706974</v>
      </c>
      <c r="D32" s="13">
        <v>74.89192553</v>
      </c>
      <c r="E32" s="13">
        <v>47.7742708473822</v>
      </c>
      <c r="F32" s="13">
        <v>34.503542378695</v>
      </c>
      <c r="G32" s="5" t="s">
        <v>487</v>
      </c>
      <c r="H32" s="14"/>
    </row>
    <row r="33" ht="13.5" customHeight="1">
      <c r="A33" s="12" t="s">
        <v>99</v>
      </c>
      <c r="B33" s="12" t="s">
        <v>100</v>
      </c>
      <c r="C33" s="13">
        <v>99.4351060019992</v>
      </c>
      <c r="D33" s="13">
        <v>64.10620067</v>
      </c>
      <c r="E33" s="13">
        <v>100.0</v>
      </c>
      <c r="F33" s="13">
        <v>28.1068237033062</v>
      </c>
      <c r="G33" s="5" t="s">
        <v>487</v>
      </c>
      <c r="H33" s="14"/>
    </row>
    <row r="34" ht="13.5" customHeight="1">
      <c r="A34" s="12" t="s">
        <v>101</v>
      </c>
      <c r="B34" s="12" t="s">
        <v>102</v>
      </c>
      <c r="C34" s="13">
        <v>91.132373158891</v>
      </c>
      <c r="D34" s="13">
        <v>83.63085815</v>
      </c>
      <c r="E34" s="13">
        <v>100.0</v>
      </c>
      <c r="F34" s="13">
        <v>84.3551367946432</v>
      </c>
      <c r="G34" s="5" t="s">
        <v>487</v>
      </c>
      <c r="H34" s="14"/>
    </row>
    <row r="35" ht="13.5" customHeight="1">
      <c r="A35" s="12" t="s">
        <v>103</v>
      </c>
      <c r="B35" s="12" t="s">
        <v>461</v>
      </c>
      <c r="C35" s="13">
        <v>96.2941840839471</v>
      </c>
      <c r="D35" s="13">
        <v>0.0</v>
      </c>
      <c r="E35" s="13">
        <v>36.3672966900065</v>
      </c>
      <c r="F35" s="13">
        <v>94.6862503456157</v>
      </c>
      <c r="G35" s="5" t="s">
        <v>487</v>
      </c>
      <c r="H35" s="14"/>
    </row>
    <row r="36" ht="13.5" customHeight="1">
      <c r="A36" s="12" t="s">
        <v>105</v>
      </c>
      <c r="B36" s="12" t="s">
        <v>462</v>
      </c>
      <c r="C36" s="13">
        <v>100.0</v>
      </c>
      <c r="D36" s="13">
        <v>0.0</v>
      </c>
      <c r="E36" s="13">
        <v>34.5393619028944</v>
      </c>
      <c r="F36" s="13">
        <v>6.13273675505448</v>
      </c>
      <c r="G36" s="5" t="s">
        <v>487</v>
      </c>
      <c r="H36" s="14"/>
    </row>
    <row r="37" ht="13.5" customHeight="1">
      <c r="A37" s="12" t="s">
        <v>107</v>
      </c>
      <c r="B37" s="12" t="s">
        <v>108</v>
      </c>
      <c r="C37" s="13">
        <v>96.6671662645079</v>
      </c>
      <c r="D37" s="13">
        <v>0.0</v>
      </c>
      <c r="E37" s="13">
        <v>100.0</v>
      </c>
      <c r="F37" s="13">
        <v>19.0816800692451</v>
      </c>
      <c r="G37" s="5" t="s">
        <v>487</v>
      </c>
      <c r="H37" s="14"/>
    </row>
    <row r="38" ht="13.5" customHeight="1">
      <c r="A38" s="12" t="s">
        <v>109</v>
      </c>
      <c r="B38" s="12" t="s">
        <v>110</v>
      </c>
      <c r="C38" s="13">
        <v>65.4533076428303</v>
      </c>
      <c r="D38" s="13">
        <v>75.93542761</v>
      </c>
      <c r="E38" s="13">
        <v>53.9027565756135</v>
      </c>
      <c r="F38" s="13">
        <v>65.814047744759</v>
      </c>
      <c r="G38" s="5" t="s">
        <v>487</v>
      </c>
      <c r="H38" s="14"/>
    </row>
    <row r="39" ht="13.5" customHeight="1">
      <c r="A39" s="12" t="s">
        <v>111</v>
      </c>
      <c r="B39" s="12" t="s">
        <v>112</v>
      </c>
      <c r="C39" s="13">
        <v>81.9309531669555</v>
      </c>
      <c r="D39" s="13">
        <v>71.06122168</v>
      </c>
      <c r="E39" s="13">
        <v>86.7935685014475</v>
      </c>
      <c r="F39" s="13">
        <v>64.0336182485146</v>
      </c>
      <c r="G39" s="5" t="s">
        <v>487</v>
      </c>
      <c r="H39" s="14"/>
    </row>
    <row r="40" ht="13.5" customHeight="1">
      <c r="A40" s="12" t="s">
        <v>203</v>
      </c>
      <c r="B40" s="12" t="s">
        <v>463</v>
      </c>
      <c r="C40" s="13">
        <v>99.3876337317974</v>
      </c>
      <c r="D40" s="13">
        <v>69.13879282</v>
      </c>
      <c r="E40" s="13">
        <v>42.5367658794128</v>
      </c>
      <c r="F40" s="13">
        <v>84.2352107435956</v>
      </c>
      <c r="G40" s="5" t="s">
        <v>487</v>
      </c>
      <c r="H40" s="14"/>
    </row>
    <row r="41" ht="13.5" customHeight="1">
      <c r="A41" s="12" t="s">
        <v>257</v>
      </c>
      <c r="B41" s="12" t="s">
        <v>464</v>
      </c>
      <c r="C41" s="13">
        <v>100.0</v>
      </c>
      <c r="D41" s="13">
        <v>74.99196035</v>
      </c>
      <c r="E41" s="13">
        <v>33.1456559561215</v>
      </c>
      <c r="F41" s="13">
        <v>89.9722436525289</v>
      </c>
      <c r="G41" s="5" t="s">
        <v>487</v>
      </c>
      <c r="H41" s="14"/>
    </row>
    <row r="42" ht="13.5" customHeight="1">
      <c r="A42" s="12" t="s">
        <v>113</v>
      </c>
      <c r="B42" s="12" t="s">
        <v>114</v>
      </c>
      <c r="C42" s="13">
        <v>94.9724999710766</v>
      </c>
      <c r="D42" s="13">
        <v>89.0290017</v>
      </c>
      <c r="E42" s="13">
        <v>100.0</v>
      </c>
      <c r="F42" s="13">
        <v>53.3687522820257</v>
      </c>
      <c r="G42" s="5" t="s">
        <v>487</v>
      </c>
      <c r="H42" s="14"/>
    </row>
    <row r="43" ht="13.5" customHeight="1">
      <c r="A43" s="12" t="s">
        <v>115</v>
      </c>
      <c r="B43" s="12" t="s">
        <v>116</v>
      </c>
      <c r="C43" s="13">
        <v>100.0</v>
      </c>
      <c r="D43" s="13">
        <v>0.0</v>
      </c>
      <c r="E43" s="13">
        <v>36.6262926347333</v>
      </c>
      <c r="F43" s="13">
        <v>27.2132235241953</v>
      </c>
      <c r="G43" s="5" t="s">
        <v>487</v>
      </c>
      <c r="H43" s="14"/>
    </row>
    <row r="44" ht="13.5" customHeight="1">
      <c r="A44" s="12" t="s">
        <v>117</v>
      </c>
      <c r="B44" s="12" t="s">
        <v>465</v>
      </c>
      <c r="C44" s="13">
        <v>99.791394055711</v>
      </c>
      <c r="D44" s="13">
        <v>63.34326897</v>
      </c>
      <c r="E44" s="13">
        <v>100.0</v>
      </c>
      <c r="F44" s="13">
        <v>30.1048118651984</v>
      </c>
      <c r="G44" s="5" t="s">
        <v>487</v>
      </c>
      <c r="H44" s="14"/>
    </row>
    <row r="45" ht="13.5" customHeight="1">
      <c r="A45" s="12" t="s">
        <v>123</v>
      </c>
      <c r="B45" s="12" t="s">
        <v>124</v>
      </c>
      <c r="C45" s="13">
        <v>87.8937730069265</v>
      </c>
      <c r="D45" s="13">
        <v>44.17790004</v>
      </c>
      <c r="E45" s="13">
        <v>50.3476849029474</v>
      </c>
      <c r="F45" s="13">
        <v>66.2980810507489</v>
      </c>
      <c r="G45" s="5" t="s">
        <v>487</v>
      </c>
      <c r="H45" s="14"/>
    </row>
    <row r="46" ht="13.5" customHeight="1">
      <c r="A46" s="12" t="s">
        <v>127</v>
      </c>
      <c r="B46" s="12" t="s">
        <v>128</v>
      </c>
      <c r="C46" s="13">
        <v>77.9515289183733</v>
      </c>
      <c r="D46" s="13">
        <v>76.02128574</v>
      </c>
      <c r="E46" s="13">
        <v>60.7519359748424</v>
      </c>
      <c r="F46" s="13">
        <v>69.1088448239982</v>
      </c>
      <c r="G46" s="5" t="s">
        <v>487</v>
      </c>
      <c r="H46" s="14"/>
    </row>
    <row r="47" ht="13.5" customHeight="1">
      <c r="A47" s="12" t="s">
        <v>129</v>
      </c>
      <c r="B47" s="12" t="s">
        <v>130</v>
      </c>
      <c r="C47" s="13">
        <v>98.3904638049146</v>
      </c>
      <c r="D47" s="13">
        <v>29.52856328</v>
      </c>
      <c r="E47" s="13">
        <v>63.4771878288581</v>
      </c>
      <c r="F47" s="13">
        <v>54.5624191137015</v>
      </c>
      <c r="G47" s="5" t="s">
        <v>487</v>
      </c>
      <c r="H47" s="14"/>
    </row>
    <row r="48" ht="13.5" customHeight="1">
      <c r="A48" s="12" t="s">
        <v>131</v>
      </c>
      <c r="B48" s="12" t="s">
        <v>132</v>
      </c>
      <c r="C48" s="13">
        <v>76.9522884480749</v>
      </c>
      <c r="D48" s="13">
        <v>11.17006731</v>
      </c>
      <c r="E48" s="13">
        <v>43.1214184157266</v>
      </c>
      <c r="F48" s="13">
        <v>79.1034257690146</v>
      </c>
      <c r="G48" s="5" t="s">
        <v>487</v>
      </c>
      <c r="H48" s="14"/>
    </row>
    <row r="49" ht="13.5" customHeight="1">
      <c r="A49" s="12" t="s">
        <v>133</v>
      </c>
      <c r="B49" s="12" t="s">
        <v>134</v>
      </c>
      <c r="C49" s="13">
        <v>92.6538271749093</v>
      </c>
      <c r="D49" s="13">
        <v>94.10908408</v>
      </c>
      <c r="E49" s="13">
        <v>74.3325780135691</v>
      </c>
      <c r="F49" s="13">
        <v>71.3435290192886</v>
      </c>
      <c r="G49" s="5" t="s">
        <v>487</v>
      </c>
      <c r="H49" s="14"/>
    </row>
    <row r="50" ht="13.5" customHeight="1">
      <c r="A50" s="12" t="s">
        <v>125</v>
      </c>
      <c r="B50" s="12" t="s">
        <v>466</v>
      </c>
      <c r="C50" s="13">
        <v>99.8097747444248</v>
      </c>
      <c r="D50" s="13">
        <v>60.64279137</v>
      </c>
      <c r="E50" s="13">
        <v>76.8798621300089</v>
      </c>
      <c r="F50" s="13">
        <v>36.0302353694507</v>
      </c>
      <c r="G50" s="5" t="s">
        <v>487</v>
      </c>
      <c r="H50" s="14"/>
    </row>
    <row r="51" ht="13.5" customHeight="1">
      <c r="A51" s="12" t="s">
        <v>119</v>
      </c>
      <c r="B51" s="12" t="s">
        <v>468</v>
      </c>
      <c r="C51" s="13">
        <v>84.2394686825049</v>
      </c>
      <c r="D51" s="13">
        <v>67.55411794</v>
      </c>
      <c r="E51" s="13">
        <v>85.4847996742268</v>
      </c>
      <c r="F51" s="13">
        <v>11.9196096515616</v>
      </c>
      <c r="G51" s="5" t="s">
        <v>487</v>
      </c>
      <c r="H51" s="14"/>
    </row>
    <row r="52" ht="13.5" customHeight="1">
      <c r="A52" s="12" t="s">
        <v>135</v>
      </c>
      <c r="B52" s="12" t="s">
        <v>136</v>
      </c>
      <c r="C52" s="13">
        <v>29.177027740302</v>
      </c>
      <c r="D52" s="13">
        <v>75.71553786</v>
      </c>
      <c r="E52" s="13">
        <v>79.5295968290885</v>
      </c>
      <c r="F52" s="13">
        <v>89.2811836270795</v>
      </c>
      <c r="G52" s="5" t="s">
        <v>487</v>
      </c>
      <c r="H52" s="14"/>
    </row>
    <row r="53" ht="13.5" customHeight="1">
      <c r="A53" s="12" t="s">
        <v>137</v>
      </c>
      <c r="B53" s="12" t="s">
        <v>138</v>
      </c>
      <c r="C53" s="13">
        <v>65.0433388168512</v>
      </c>
      <c r="D53" s="13">
        <v>38.43898068</v>
      </c>
      <c r="E53" s="13">
        <v>29.3781072889673</v>
      </c>
      <c r="F53" s="13">
        <v>41.2566795021279</v>
      </c>
      <c r="G53" s="5" t="s">
        <v>487</v>
      </c>
      <c r="H53" s="14"/>
    </row>
    <row r="54" ht="13.5" customHeight="1">
      <c r="A54" s="12" t="s">
        <v>139</v>
      </c>
      <c r="B54" s="12" t="s">
        <v>140</v>
      </c>
      <c r="C54" s="13">
        <v>99.3490015297943</v>
      </c>
      <c r="D54" s="13">
        <v>0.0</v>
      </c>
      <c r="E54" s="13">
        <v>41.1032087082739</v>
      </c>
      <c r="F54" s="13">
        <v>58.1405472417835</v>
      </c>
      <c r="G54" s="5" t="s">
        <v>487</v>
      </c>
      <c r="H54" s="14"/>
    </row>
    <row r="55" ht="13.5" customHeight="1">
      <c r="A55" s="12" t="s">
        <v>141</v>
      </c>
      <c r="B55" s="12" t="s">
        <v>469</v>
      </c>
      <c r="C55" s="13">
        <v>88.1306483789083</v>
      </c>
      <c r="D55" s="13">
        <v>69.89151005</v>
      </c>
      <c r="E55" s="13">
        <v>38.1316429276058</v>
      </c>
      <c r="F55" s="13">
        <v>58.1329037369711</v>
      </c>
      <c r="G55" s="5" t="s">
        <v>487</v>
      </c>
      <c r="H55" s="14"/>
    </row>
    <row r="56" ht="13.5" customHeight="1">
      <c r="A56" s="12" t="s">
        <v>143</v>
      </c>
      <c r="B56" s="12" t="s">
        <v>144</v>
      </c>
      <c r="C56" s="13">
        <v>99.1722983772742</v>
      </c>
      <c r="D56" s="13">
        <v>31.02419267</v>
      </c>
      <c r="E56" s="13">
        <v>100.0</v>
      </c>
      <c r="F56" s="13">
        <v>51.1328961336834</v>
      </c>
      <c r="G56" s="5" t="s">
        <v>487</v>
      </c>
      <c r="H56" s="14"/>
    </row>
    <row r="57" ht="13.5" customHeight="1">
      <c r="A57" s="12" t="s">
        <v>145</v>
      </c>
      <c r="B57" s="12" t="s">
        <v>146</v>
      </c>
      <c r="C57" s="13">
        <v>94.7378628242284</v>
      </c>
      <c r="D57" s="13">
        <v>67.55504234</v>
      </c>
      <c r="E57" s="13">
        <v>83.9659799062284</v>
      </c>
      <c r="F57" s="13">
        <v>45.0296585050055</v>
      </c>
      <c r="G57" s="5" t="s">
        <v>487</v>
      </c>
      <c r="H57" s="14"/>
    </row>
    <row r="58" ht="13.5" customHeight="1">
      <c r="A58" s="12" t="s">
        <v>147</v>
      </c>
      <c r="B58" s="12" t="s">
        <v>148</v>
      </c>
      <c r="C58" s="13">
        <v>76.8653923060912</v>
      </c>
      <c r="D58" s="13">
        <v>52.03179573</v>
      </c>
      <c r="E58" s="13">
        <v>43.6756485305457</v>
      </c>
      <c r="F58" s="13">
        <v>46.6901725020573</v>
      </c>
      <c r="G58" s="5" t="s">
        <v>487</v>
      </c>
      <c r="H58" s="14"/>
    </row>
    <row r="59" ht="13.5" customHeight="1">
      <c r="A59" s="12" t="s">
        <v>149</v>
      </c>
      <c r="B59" s="12" t="s">
        <v>150</v>
      </c>
      <c r="C59" s="13">
        <v>100.0</v>
      </c>
      <c r="D59" s="13">
        <v>29.43444406</v>
      </c>
      <c r="E59" s="13">
        <v>100.0</v>
      </c>
      <c r="F59" s="13">
        <v>47.7910772005365</v>
      </c>
      <c r="G59" s="5" t="s">
        <v>487</v>
      </c>
      <c r="H59" s="14"/>
    </row>
    <row r="60" ht="13.5" customHeight="1">
      <c r="A60" s="12" t="s">
        <v>153</v>
      </c>
      <c r="B60" s="12" t="s">
        <v>154</v>
      </c>
      <c r="C60" s="13">
        <v>66.8648105808055</v>
      </c>
      <c r="D60" s="13">
        <v>71.08573753</v>
      </c>
      <c r="E60" s="13">
        <v>57.9042242186479</v>
      </c>
      <c r="F60" s="13">
        <v>71.0420238702059</v>
      </c>
      <c r="G60" s="5" t="s">
        <v>487</v>
      </c>
      <c r="H60" s="14"/>
    </row>
    <row r="61" ht="13.5" customHeight="1">
      <c r="A61" s="12" t="s">
        <v>155</v>
      </c>
      <c r="B61" s="12" t="s">
        <v>156</v>
      </c>
      <c r="C61" s="13">
        <v>94.8997312047095</v>
      </c>
      <c r="D61" s="13">
        <v>75.33051833</v>
      </c>
      <c r="E61" s="13">
        <v>61.9960981451985</v>
      </c>
      <c r="F61" s="13">
        <v>43.9130591870337</v>
      </c>
      <c r="G61" s="5" t="s">
        <v>487</v>
      </c>
      <c r="H61" s="14"/>
    </row>
    <row r="62" ht="13.5" customHeight="1">
      <c r="A62" s="12" t="s">
        <v>157</v>
      </c>
      <c r="B62" s="12" t="s">
        <v>158</v>
      </c>
      <c r="C62" s="13">
        <v>96.3794897415389</v>
      </c>
      <c r="D62" s="13">
        <v>58.44851223</v>
      </c>
      <c r="E62" s="13">
        <v>51.5770239048462</v>
      </c>
      <c r="F62" s="13">
        <v>19.6016725788483</v>
      </c>
      <c r="G62" s="5" t="s">
        <v>487</v>
      </c>
      <c r="H62" s="14"/>
    </row>
    <row r="63" ht="13.5" customHeight="1">
      <c r="A63" s="12" t="s">
        <v>163</v>
      </c>
      <c r="B63" s="12" t="s">
        <v>164</v>
      </c>
      <c r="C63" s="13">
        <v>98.487278880388</v>
      </c>
      <c r="D63" s="13">
        <v>20.47154609</v>
      </c>
      <c r="E63" s="13">
        <v>45.77572570825</v>
      </c>
      <c r="F63" s="13">
        <v>50.9712647880746</v>
      </c>
      <c r="G63" s="5" t="s">
        <v>487</v>
      </c>
      <c r="H63" s="14"/>
    </row>
    <row r="64" ht="13.5" customHeight="1">
      <c r="A64" s="12" t="s">
        <v>165</v>
      </c>
      <c r="B64" s="12" t="s">
        <v>166</v>
      </c>
      <c r="C64" s="13">
        <v>73.3444450840646</v>
      </c>
      <c r="D64" s="13">
        <v>90.18251381</v>
      </c>
      <c r="E64" s="13">
        <v>75.3101880007525</v>
      </c>
      <c r="F64" s="13">
        <v>84.3601729456039</v>
      </c>
      <c r="G64" s="5" t="s">
        <v>487</v>
      </c>
      <c r="H64" s="14"/>
    </row>
    <row r="65" ht="13.5" customHeight="1">
      <c r="A65" s="12" t="s">
        <v>167</v>
      </c>
      <c r="B65" s="12" t="s">
        <v>168</v>
      </c>
      <c r="C65" s="13">
        <v>86.9432290152479</v>
      </c>
      <c r="D65" s="13">
        <v>81.92295105</v>
      </c>
      <c r="E65" s="13">
        <v>72.6390892006448</v>
      </c>
      <c r="F65" s="13">
        <v>82.2620962247445</v>
      </c>
      <c r="G65" s="5" t="s">
        <v>487</v>
      </c>
      <c r="H65" s="14"/>
    </row>
    <row r="66" ht="13.5" customHeight="1">
      <c r="A66" s="12" t="s">
        <v>169</v>
      </c>
      <c r="B66" s="12" t="s">
        <v>170</v>
      </c>
      <c r="C66" s="13">
        <v>92.0566112066264</v>
      </c>
      <c r="D66" s="13">
        <v>10.40619326</v>
      </c>
      <c r="E66" s="13">
        <v>48.0871593008058</v>
      </c>
      <c r="F66" s="13">
        <v>71.6606119420972</v>
      </c>
      <c r="G66" s="5" t="s">
        <v>487</v>
      </c>
      <c r="H66" s="14"/>
    </row>
    <row r="67" ht="13.5" customHeight="1">
      <c r="A67" s="12" t="s">
        <v>171</v>
      </c>
      <c r="B67" s="12" t="s">
        <v>172</v>
      </c>
      <c r="C67" s="13">
        <v>99.9562314700862</v>
      </c>
      <c r="D67" s="13">
        <v>71.39379215</v>
      </c>
      <c r="E67" s="13">
        <v>100.0</v>
      </c>
      <c r="F67" s="13">
        <v>52.7670015333026</v>
      </c>
      <c r="G67" s="5" t="s">
        <v>487</v>
      </c>
      <c r="H67" s="14"/>
    </row>
    <row r="68" ht="13.5" customHeight="1">
      <c r="A68" s="12" t="s">
        <v>173</v>
      </c>
      <c r="B68" s="12" t="s">
        <v>471</v>
      </c>
      <c r="C68" s="13">
        <v>98.9408761395176</v>
      </c>
      <c r="D68" s="13">
        <v>0.0</v>
      </c>
      <c r="E68" s="13">
        <v>40.9657561633232</v>
      </c>
      <c r="F68" s="13">
        <v>17.1002977186862</v>
      </c>
      <c r="G68" s="5" t="s">
        <v>487</v>
      </c>
      <c r="H68" s="14"/>
    </row>
    <row r="69" ht="13.5" customHeight="1">
      <c r="A69" s="12" t="s">
        <v>175</v>
      </c>
      <c r="B69" s="12" t="s">
        <v>176</v>
      </c>
      <c r="C69" s="13">
        <v>99.1229136806166</v>
      </c>
      <c r="D69" s="13">
        <v>78.66398894</v>
      </c>
      <c r="E69" s="13">
        <v>49.9701008219806</v>
      </c>
      <c r="F69" s="13">
        <v>52.7355491705093</v>
      </c>
      <c r="G69" s="5" t="s">
        <v>487</v>
      </c>
      <c r="H69" s="14"/>
    </row>
    <row r="70" ht="13.5" customHeight="1">
      <c r="A70" s="12" t="s">
        <v>177</v>
      </c>
      <c r="B70" s="12" t="s">
        <v>178</v>
      </c>
      <c r="C70" s="13">
        <v>57.8256630894449</v>
      </c>
      <c r="D70" s="13">
        <v>87.0139116</v>
      </c>
      <c r="E70" s="13">
        <v>60.8571006192576</v>
      </c>
      <c r="F70" s="13">
        <v>83.9729783456977</v>
      </c>
      <c r="G70" s="5" t="s">
        <v>487</v>
      </c>
      <c r="H70" s="14"/>
    </row>
    <row r="71" ht="13.5" customHeight="1">
      <c r="A71" s="12" t="s">
        <v>179</v>
      </c>
      <c r="B71" s="12" t="s">
        <v>180</v>
      </c>
      <c r="C71" s="13">
        <v>99.2951073337294</v>
      </c>
      <c r="D71" s="13">
        <v>68.41443652</v>
      </c>
      <c r="E71" s="13">
        <v>100.0</v>
      </c>
      <c r="F71" s="13">
        <v>34.4237537092661</v>
      </c>
      <c r="G71" s="5" t="s">
        <v>487</v>
      </c>
      <c r="H71" s="14"/>
    </row>
    <row r="72" ht="13.5" customHeight="1">
      <c r="A72" s="12" t="s">
        <v>183</v>
      </c>
      <c r="B72" s="12" t="s">
        <v>184</v>
      </c>
      <c r="C72" s="13">
        <v>58.6995854495151</v>
      </c>
      <c r="D72" s="13">
        <v>68.8122791</v>
      </c>
      <c r="E72" s="13">
        <v>48.967701428919</v>
      </c>
      <c r="F72" s="13">
        <v>72.1647549786591</v>
      </c>
      <c r="G72" s="5" t="s">
        <v>487</v>
      </c>
      <c r="H72" s="14"/>
    </row>
    <row r="73" ht="13.5" customHeight="1">
      <c r="A73" s="12" t="s">
        <v>187</v>
      </c>
      <c r="B73" s="12" t="s">
        <v>188</v>
      </c>
      <c r="C73" s="13">
        <v>98.0543372031785</v>
      </c>
      <c r="D73" s="13">
        <v>0.0</v>
      </c>
      <c r="E73" s="13">
        <v>31.5889326600044</v>
      </c>
      <c r="F73" s="13">
        <v>59.6327373153669</v>
      </c>
      <c r="G73" s="5" t="s">
        <v>487</v>
      </c>
      <c r="H73" s="14"/>
    </row>
    <row r="74" ht="13.5" customHeight="1">
      <c r="A74" s="12" t="s">
        <v>191</v>
      </c>
      <c r="B74" s="12" t="s">
        <v>192</v>
      </c>
      <c r="C74" s="13">
        <v>95.8858249093009</v>
      </c>
      <c r="D74" s="13">
        <v>55.4433265</v>
      </c>
      <c r="E74" s="13">
        <v>45.0832694367956</v>
      </c>
      <c r="F74" s="13">
        <v>46.6456905591723</v>
      </c>
      <c r="G74" s="5" t="s">
        <v>487</v>
      </c>
      <c r="H74" s="14"/>
    </row>
    <row r="75" ht="13.5" customHeight="1">
      <c r="A75" s="12" t="s">
        <v>193</v>
      </c>
      <c r="B75" s="12" t="s">
        <v>194</v>
      </c>
      <c r="C75" s="13">
        <v>99.2921942774715</v>
      </c>
      <c r="D75" s="13">
        <v>29.9372991</v>
      </c>
      <c r="E75" s="13">
        <v>47.0416356640045</v>
      </c>
      <c r="F75" s="13">
        <v>22.3817312890228</v>
      </c>
      <c r="G75" s="5" t="s">
        <v>487</v>
      </c>
      <c r="H75" s="14"/>
    </row>
    <row r="76" ht="13.5" customHeight="1">
      <c r="A76" s="12" t="s">
        <v>195</v>
      </c>
      <c r="B76" s="12" t="s">
        <v>196</v>
      </c>
      <c r="C76" s="13">
        <v>96.0315270871972</v>
      </c>
      <c r="D76" s="13">
        <v>0.0</v>
      </c>
      <c r="E76" s="13">
        <v>34.1794145193148</v>
      </c>
      <c r="F76" s="13">
        <v>17.6748165754988</v>
      </c>
      <c r="G76" s="5" t="s">
        <v>487</v>
      </c>
      <c r="H76" s="14"/>
    </row>
    <row r="77" ht="13.5" customHeight="1">
      <c r="A77" s="12" t="s">
        <v>197</v>
      </c>
      <c r="B77" s="12" t="s">
        <v>198</v>
      </c>
      <c r="C77" s="13">
        <v>98.5275010827198</v>
      </c>
      <c r="D77" s="13">
        <v>0.0</v>
      </c>
      <c r="E77" s="13">
        <v>100.0</v>
      </c>
      <c r="F77" s="13">
        <v>79.2423031437813</v>
      </c>
      <c r="G77" s="5" t="s">
        <v>487</v>
      </c>
      <c r="H77" s="14"/>
    </row>
    <row r="78" ht="13.5" customHeight="1">
      <c r="A78" s="12" t="s">
        <v>199</v>
      </c>
      <c r="B78" s="12" t="s">
        <v>200</v>
      </c>
      <c r="C78" s="13">
        <v>99.4723054342757</v>
      </c>
      <c r="D78" s="13">
        <v>5.685977293</v>
      </c>
      <c r="E78" s="13">
        <v>24.9972856385386</v>
      </c>
      <c r="F78" s="13">
        <v>24.0109968221701</v>
      </c>
      <c r="G78" s="5" t="s">
        <v>487</v>
      </c>
      <c r="H78" s="14"/>
    </row>
    <row r="79" ht="13.5" customHeight="1">
      <c r="A79" s="12" t="s">
        <v>201</v>
      </c>
      <c r="B79" s="12" t="s">
        <v>202</v>
      </c>
      <c r="C79" s="13">
        <v>84.5359500385644</v>
      </c>
      <c r="D79" s="13">
        <v>32.34145685</v>
      </c>
      <c r="E79" s="13">
        <v>37.7862706254877</v>
      </c>
      <c r="F79" s="13">
        <v>37.2211731076003</v>
      </c>
      <c r="G79" s="5" t="s">
        <v>487</v>
      </c>
      <c r="H79" s="14"/>
    </row>
    <row r="80" ht="13.5" customHeight="1">
      <c r="A80" s="12" t="s">
        <v>205</v>
      </c>
      <c r="B80" s="12" t="s">
        <v>206</v>
      </c>
      <c r="C80" s="13">
        <v>72.8320647999962</v>
      </c>
      <c r="D80" s="13">
        <v>88.3137202</v>
      </c>
      <c r="E80" s="13">
        <v>65.5114587883994</v>
      </c>
      <c r="F80" s="13">
        <v>67.8526789382308</v>
      </c>
      <c r="G80" s="5" t="s">
        <v>487</v>
      </c>
      <c r="H80" s="14"/>
    </row>
    <row r="81" ht="13.5" customHeight="1">
      <c r="A81" s="12" t="s">
        <v>207</v>
      </c>
      <c r="B81" s="12" t="s">
        <v>208</v>
      </c>
      <c r="C81" s="13">
        <v>99.9032538854057</v>
      </c>
      <c r="D81" s="13">
        <v>63.45634886</v>
      </c>
      <c r="E81" s="13">
        <v>77.9560517815213</v>
      </c>
      <c r="F81" s="13">
        <v>88.8085607386257</v>
      </c>
      <c r="G81" s="5" t="s">
        <v>487</v>
      </c>
      <c r="H81" s="14"/>
    </row>
    <row r="82" ht="13.5" customHeight="1">
      <c r="A82" s="12" t="s">
        <v>209</v>
      </c>
      <c r="B82" s="12" t="s">
        <v>210</v>
      </c>
      <c r="C82" s="13">
        <v>88.9800041771782</v>
      </c>
      <c r="D82" s="13">
        <v>71.68034816</v>
      </c>
      <c r="E82" s="13">
        <v>75.5225151755384</v>
      </c>
      <c r="F82" s="13">
        <v>35.830871651007</v>
      </c>
      <c r="G82" s="5" t="s">
        <v>487</v>
      </c>
      <c r="H82" s="14"/>
    </row>
    <row r="83" ht="13.5" customHeight="1">
      <c r="A83" s="12" t="s">
        <v>211</v>
      </c>
      <c r="B83" s="12" t="s">
        <v>212</v>
      </c>
      <c r="C83" s="13">
        <v>99.5509582527865</v>
      </c>
      <c r="D83" s="13">
        <v>77.00015093</v>
      </c>
      <c r="E83" s="13">
        <v>100.0</v>
      </c>
      <c r="F83" s="13">
        <v>45.9218452894136</v>
      </c>
      <c r="G83" s="5" t="s">
        <v>487</v>
      </c>
      <c r="H83" s="14"/>
    </row>
    <row r="84" ht="13.5" customHeight="1">
      <c r="A84" s="12" t="s">
        <v>213</v>
      </c>
      <c r="B84" s="12" t="s">
        <v>214</v>
      </c>
      <c r="C84" s="13">
        <v>99.5455034704632</v>
      </c>
      <c r="D84" s="13">
        <v>53.06445938</v>
      </c>
      <c r="E84" s="13">
        <v>100.0</v>
      </c>
      <c r="F84" s="13">
        <v>50.6892658581469</v>
      </c>
      <c r="G84" s="5" t="s">
        <v>487</v>
      </c>
      <c r="H84" s="14"/>
    </row>
    <row r="85" ht="13.5" customHeight="1">
      <c r="A85" s="12" t="s">
        <v>215</v>
      </c>
      <c r="B85" s="12" t="s">
        <v>216</v>
      </c>
      <c r="C85" s="13">
        <v>99.7128223916025</v>
      </c>
      <c r="D85" s="13">
        <v>46.69837797</v>
      </c>
      <c r="E85" s="13">
        <v>100.0</v>
      </c>
      <c r="F85" s="13">
        <v>45.1986913025318</v>
      </c>
      <c r="G85" s="5" t="s">
        <v>487</v>
      </c>
      <c r="H85" s="14"/>
    </row>
    <row r="86" ht="13.5" customHeight="1">
      <c r="A86" s="12" t="s">
        <v>217</v>
      </c>
      <c r="B86" s="12" t="s">
        <v>218</v>
      </c>
      <c r="C86" s="13">
        <v>59.2983081134164</v>
      </c>
      <c r="D86" s="13">
        <v>73.65456328</v>
      </c>
      <c r="E86" s="13">
        <v>53.8042922895389</v>
      </c>
      <c r="F86" s="13">
        <v>96.5469915302356</v>
      </c>
      <c r="G86" s="5" t="s">
        <v>487</v>
      </c>
      <c r="H86" s="14"/>
    </row>
    <row r="87" ht="13.5" customHeight="1">
      <c r="A87" s="12" t="s">
        <v>219</v>
      </c>
      <c r="B87" s="12" t="s">
        <v>220</v>
      </c>
      <c r="C87" s="13">
        <v>89.6476466020941</v>
      </c>
      <c r="D87" s="13">
        <v>73.63166212</v>
      </c>
      <c r="E87" s="13">
        <v>99.6231060642891</v>
      </c>
      <c r="F87" s="13">
        <v>83.1501556782303</v>
      </c>
      <c r="G87" s="5" t="s">
        <v>487</v>
      </c>
      <c r="H87" s="14"/>
    </row>
    <row r="88" ht="13.5" customHeight="1">
      <c r="A88" s="12" t="s">
        <v>221</v>
      </c>
      <c r="B88" s="12" t="s">
        <v>222</v>
      </c>
      <c r="C88" s="13">
        <v>77.727852525207</v>
      </c>
      <c r="D88" s="13">
        <v>76.62339576</v>
      </c>
      <c r="E88" s="13">
        <v>53.0808390366552</v>
      </c>
      <c r="F88" s="13">
        <v>79.9608065093786</v>
      </c>
      <c r="G88" s="5" t="s">
        <v>487</v>
      </c>
      <c r="H88" s="14"/>
    </row>
    <row r="89" ht="13.5" customHeight="1">
      <c r="A89" s="12" t="s">
        <v>223</v>
      </c>
      <c r="B89" s="12" t="s">
        <v>224</v>
      </c>
      <c r="C89" s="13">
        <v>90.9579608241507</v>
      </c>
      <c r="D89" s="13">
        <v>49.13925263</v>
      </c>
      <c r="E89" s="13">
        <v>37.5991660155646</v>
      </c>
      <c r="F89" s="13">
        <v>51.4126488178905</v>
      </c>
      <c r="G89" s="5" t="s">
        <v>487</v>
      </c>
      <c r="H89" s="14"/>
    </row>
    <row r="90" ht="13.5" customHeight="1">
      <c r="A90" s="12" t="s">
        <v>225</v>
      </c>
      <c r="B90" s="12" t="s">
        <v>226</v>
      </c>
      <c r="C90" s="13">
        <v>88.0609109954536</v>
      </c>
      <c r="D90" s="13">
        <v>89.4609575</v>
      </c>
      <c r="E90" s="13">
        <v>55.2414924086653</v>
      </c>
      <c r="F90" s="13">
        <v>81.5381090726246</v>
      </c>
      <c r="G90" s="5" t="s">
        <v>487</v>
      </c>
      <c r="H90" s="14"/>
    </row>
    <row r="91" ht="13.5" customHeight="1">
      <c r="A91" s="12" t="s">
        <v>227</v>
      </c>
      <c r="B91" s="12" t="s">
        <v>228</v>
      </c>
      <c r="C91" s="13">
        <v>76.0100501455261</v>
      </c>
      <c r="D91" s="13">
        <v>68.69838813</v>
      </c>
      <c r="E91" s="13">
        <v>42.3950887820361</v>
      </c>
      <c r="F91" s="13">
        <v>46.1951469702589</v>
      </c>
      <c r="G91" s="5" t="s">
        <v>487</v>
      </c>
      <c r="H91" s="14"/>
    </row>
    <row r="92" ht="13.5" customHeight="1">
      <c r="A92" s="12" t="s">
        <v>229</v>
      </c>
      <c r="B92" s="12" t="s">
        <v>230</v>
      </c>
      <c r="C92" s="13">
        <v>95.7820772091085</v>
      </c>
      <c r="D92" s="13">
        <v>78.92542013</v>
      </c>
      <c r="E92" s="13">
        <v>100.0</v>
      </c>
      <c r="F92" s="13">
        <v>62.3897064691983</v>
      </c>
      <c r="G92" s="5" t="s">
        <v>487</v>
      </c>
      <c r="H92" s="14"/>
    </row>
    <row r="93" ht="13.5" customHeight="1">
      <c r="A93" s="12" t="s">
        <v>231</v>
      </c>
      <c r="B93" s="12" t="s">
        <v>232</v>
      </c>
      <c r="C93" s="13">
        <v>78.6369297786387</v>
      </c>
      <c r="D93" s="13">
        <v>55.55711415</v>
      </c>
      <c r="E93" s="13">
        <v>46.4846711596842</v>
      </c>
      <c r="F93" s="13">
        <v>31.8523813750564</v>
      </c>
      <c r="G93" s="5" t="s">
        <v>487</v>
      </c>
      <c r="H93" s="14"/>
    </row>
    <row r="94" ht="13.5" customHeight="1">
      <c r="A94" s="12" t="s">
        <v>233</v>
      </c>
      <c r="B94" s="12" t="s">
        <v>234</v>
      </c>
      <c r="C94" s="13">
        <v>79.4069556581263</v>
      </c>
      <c r="D94" s="13">
        <v>0.0</v>
      </c>
      <c r="E94" s="13">
        <v>45.3174611207778</v>
      </c>
      <c r="F94" s="13">
        <v>33.4867043005716</v>
      </c>
      <c r="G94" s="5" t="s">
        <v>487</v>
      </c>
      <c r="H94" s="14"/>
    </row>
    <row r="95" ht="13.5" customHeight="1">
      <c r="A95" s="12" t="s">
        <v>237</v>
      </c>
      <c r="B95" s="12" t="s">
        <v>238</v>
      </c>
      <c r="C95" s="13">
        <v>97.755660401603</v>
      </c>
      <c r="D95" s="13">
        <v>62.55818883</v>
      </c>
      <c r="E95" s="13">
        <v>100.0</v>
      </c>
      <c r="F95" s="13">
        <v>74.0763961592321</v>
      </c>
      <c r="G95" s="5" t="s">
        <v>487</v>
      </c>
      <c r="H95" s="14"/>
    </row>
    <row r="96" ht="13.5" customHeight="1">
      <c r="A96" s="12" t="s">
        <v>239</v>
      </c>
      <c r="B96" s="12" t="s">
        <v>240</v>
      </c>
      <c r="C96" s="13">
        <v>100.0</v>
      </c>
      <c r="D96" s="13">
        <v>90.25695867</v>
      </c>
      <c r="E96" s="13">
        <v>77.9589473760493</v>
      </c>
      <c r="F96" s="13">
        <v>27.4586749856758</v>
      </c>
      <c r="G96" s="5" t="s">
        <v>487</v>
      </c>
      <c r="H96" s="14"/>
    </row>
    <row r="97" ht="13.5" customHeight="1">
      <c r="A97" s="12" t="s">
        <v>241</v>
      </c>
      <c r="B97" s="12" t="s">
        <v>472</v>
      </c>
      <c r="C97" s="13">
        <v>99.8277363454581</v>
      </c>
      <c r="D97" s="13">
        <v>43.04742559</v>
      </c>
      <c r="E97" s="13">
        <v>100.0</v>
      </c>
      <c r="F97" s="13">
        <v>38.1278358856197</v>
      </c>
      <c r="G97" s="5" t="s">
        <v>487</v>
      </c>
      <c r="H97" s="14"/>
    </row>
    <row r="98" ht="13.5" customHeight="1">
      <c r="A98" s="12" t="s">
        <v>243</v>
      </c>
      <c r="B98" s="12" t="s">
        <v>244</v>
      </c>
      <c r="C98" s="13">
        <v>91.3632966324326</v>
      </c>
      <c r="D98" s="13">
        <v>73.21569386</v>
      </c>
      <c r="E98" s="13">
        <v>55.2617799154726</v>
      </c>
      <c r="F98" s="13">
        <v>67.6857387735372</v>
      </c>
      <c r="G98" s="5" t="s">
        <v>487</v>
      </c>
      <c r="H98" s="14"/>
    </row>
    <row r="99" ht="13.5" customHeight="1">
      <c r="A99" s="12" t="s">
        <v>245</v>
      </c>
      <c r="B99" s="12" t="s">
        <v>246</v>
      </c>
      <c r="C99" s="13">
        <v>69.9559330950716</v>
      </c>
      <c r="D99" s="13">
        <v>12.43301061</v>
      </c>
      <c r="E99" s="13">
        <v>38.1292782956871</v>
      </c>
      <c r="F99" s="13">
        <v>49.3881580999882</v>
      </c>
      <c r="G99" s="5" t="s">
        <v>487</v>
      </c>
      <c r="H99" s="14"/>
    </row>
    <row r="100" ht="13.5" customHeight="1">
      <c r="A100" s="12" t="s">
        <v>247</v>
      </c>
      <c r="B100" s="12" t="s">
        <v>248</v>
      </c>
      <c r="C100" s="13">
        <v>81.4257788802459</v>
      </c>
      <c r="D100" s="13">
        <v>31.60057687</v>
      </c>
      <c r="E100" s="13">
        <v>24.5636877849985</v>
      </c>
      <c r="F100" s="13">
        <v>21.8484171054756</v>
      </c>
      <c r="G100" s="5" t="s">
        <v>487</v>
      </c>
      <c r="H100" s="14"/>
    </row>
    <row r="101" ht="13.5" customHeight="1">
      <c r="A101" s="12" t="s">
        <v>249</v>
      </c>
      <c r="B101" s="12" t="s">
        <v>250</v>
      </c>
      <c r="C101" s="13">
        <v>98.9957799365611</v>
      </c>
      <c r="D101" s="13">
        <v>21.82332014</v>
      </c>
      <c r="E101" s="13">
        <v>40.6352946569328</v>
      </c>
      <c r="F101" s="13">
        <v>14.926156556361</v>
      </c>
      <c r="G101" s="5" t="s">
        <v>487</v>
      </c>
      <c r="H101" s="14"/>
    </row>
    <row r="102" ht="13.5" customHeight="1">
      <c r="A102" s="12" t="s">
        <v>251</v>
      </c>
      <c r="B102" s="12" t="s">
        <v>252</v>
      </c>
      <c r="C102" s="13">
        <v>99.967032368796</v>
      </c>
      <c r="D102" s="13">
        <v>62.28487996</v>
      </c>
      <c r="E102" s="13">
        <v>100.0</v>
      </c>
      <c r="F102" s="13">
        <v>55.2499531355414</v>
      </c>
      <c r="G102" s="5" t="s">
        <v>487</v>
      </c>
      <c r="H102" s="14"/>
    </row>
    <row r="103" ht="13.5" customHeight="1">
      <c r="A103" s="12" t="s">
        <v>253</v>
      </c>
      <c r="B103" s="12" t="s">
        <v>254</v>
      </c>
      <c r="C103" s="13">
        <v>28.2308626716045</v>
      </c>
      <c r="D103" s="13">
        <v>73.61796797</v>
      </c>
      <c r="E103" s="13">
        <v>53.3196219239586</v>
      </c>
      <c r="F103" s="13">
        <v>70.3101700144417</v>
      </c>
      <c r="G103" s="5" t="s">
        <v>487</v>
      </c>
      <c r="H103" s="14"/>
    </row>
    <row r="104" ht="13.5" customHeight="1">
      <c r="A104" s="12" t="s">
        <v>255</v>
      </c>
      <c r="B104" s="12" t="s">
        <v>256</v>
      </c>
      <c r="C104" s="13">
        <v>10.8847233152592</v>
      </c>
      <c r="D104" s="13">
        <v>60.12330615</v>
      </c>
      <c r="E104" s="13">
        <v>44.1548008227119</v>
      </c>
      <c r="F104" s="13">
        <v>98.1521739485549</v>
      </c>
      <c r="G104" s="5" t="s">
        <v>487</v>
      </c>
      <c r="H104" s="14"/>
    </row>
    <row r="105" ht="13.5" customHeight="1">
      <c r="A105" s="12" t="s">
        <v>259</v>
      </c>
      <c r="B105" s="12" t="s">
        <v>260</v>
      </c>
      <c r="C105" s="13">
        <v>96.023701157213</v>
      </c>
      <c r="D105" s="13">
        <v>52.20560016</v>
      </c>
      <c r="E105" s="13">
        <v>39.8853627405346</v>
      </c>
      <c r="F105" s="13">
        <v>8.63622185085519</v>
      </c>
      <c r="G105" s="5" t="s">
        <v>487</v>
      </c>
      <c r="H105" s="14"/>
    </row>
    <row r="106" ht="13.5" customHeight="1">
      <c r="A106" s="12" t="s">
        <v>261</v>
      </c>
      <c r="B106" s="12" t="s">
        <v>262</v>
      </c>
      <c r="C106" s="13">
        <v>99.2554651398696</v>
      </c>
      <c r="D106" s="13">
        <v>53.42233894</v>
      </c>
      <c r="E106" s="13">
        <v>55.0787642318862</v>
      </c>
      <c r="F106" s="13">
        <v>11.8551065528347</v>
      </c>
      <c r="G106" s="5" t="s">
        <v>487</v>
      </c>
      <c r="H106" s="14"/>
    </row>
    <row r="107" ht="13.5" customHeight="1">
      <c r="A107" s="12" t="s">
        <v>263</v>
      </c>
      <c r="B107" s="12" t="s">
        <v>264</v>
      </c>
      <c r="C107" s="13">
        <v>98.7141396828591</v>
      </c>
      <c r="D107" s="13">
        <v>84.1078986</v>
      </c>
      <c r="E107" s="13">
        <v>100.0</v>
      </c>
      <c r="F107" s="13">
        <v>62.4049670987164</v>
      </c>
      <c r="G107" s="5" t="s">
        <v>487</v>
      </c>
      <c r="H107" s="14"/>
    </row>
    <row r="108" ht="13.5" customHeight="1">
      <c r="A108" s="12" t="s">
        <v>265</v>
      </c>
      <c r="B108" s="12" t="s">
        <v>266</v>
      </c>
      <c r="C108" s="13">
        <v>92.3551598061438</v>
      </c>
      <c r="D108" s="13">
        <v>0.0</v>
      </c>
      <c r="E108" s="13">
        <v>42.6206916215659</v>
      </c>
      <c r="F108" s="13">
        <v>62.2867506878469</v>
      </c>
      <c r="G108" s="5" t="s">
        <v>487</v>
      </c>
      <c r="H108" s="14"/>
    </row>
    <row r="109" ht="13.5" customHeight="1">
      <c r="A109" s="12" t="s">
        <v>267</v>
      </c>
      <c r="B109" s="12" t="s">
        <v>268</v>
      </c>
      <c r="C109" s="13">
        <v>97.0928254576017</v>
      </c>
      <c r="D109" s="13">
        <v>6.493598475</v>
      </c>
      <c r="E109" s="13">
        <v>29.1465252556415</v>
      </c>
      <c r="F109" s="13">
        <v>20.0945810387549</v>
      </c>
      <c r="G109" s="5" t="s">
        <v>487</v>
      </c>
      <c r="H109" s="14"/>
    </row>
    <row r="110" ht="13.5" customHeight="1">
      <c r="A110" s="12" t="s">
        <v>269</v>
      </c>
      <c r="B110" s="12" t="s">
        <v>270</v>
      </c>
      <c r="C110" s="13">
        <v>85.4006858671875</v>
      </c>
      <c r="D110" s="13">
        <v>35.29289871</v>
      </c>
      <c r="E110" s="13">
        <v>46.7157524448601</v>
      </c>
      <c r="F110" s="13">
        <v>79.9577832860971</v>
      </c>
      <c r="G110" s="5" t="s">
        <v>487</v>
      </c>
      <c r="H110" s="14"/>
    </row>
    <row r="111" ht="13.5" customHeight="1">
      <c r="A111" s="12" t="s">
        <v>271</v>
      </c>
      <c r="B111" s="12" t="s">
        <v>272</v>
      </c>
      <c r="C111" s="13">
        <v>87.3263193851061</v>
      </c>
      <c r="D111" s="13">
        <v>9.43054249</v>
      </c>
      <c r="E111" s="13">
        <v>35.8870068714684</v>
      </c>
      <c r="F111" s="13">
        <v>30.3115188525828</v>
      </c>
      <c r="G111" s="5" t="s">
        <v>487</v>
      </c>
      <c r="H111" s="14"/>
    </row>
    <row r="112" ht="13.5" customHeight="1">
      <c r="A112" s="12" t="s">
        <v>273</v>
      </c>
      <c r="B112" s="12" t="s">
        <v>274</v>
      </c>
      <c r="C112" s="13">
        <v>94.7358032814699</v>
      </c>
      <c r="D112" s="13">
        <v>53.13501766</v>
      </c>
      <c r="E112" s="13">
        <v>46.5430685745478</v>
      </c>
      <c r="F112" s="13">
        <v>62.4534172115496</v>
      </c>
      <c r="G112" s="5" t="s">
        <v>487</v>
      </c>
      <c r="H112" s="14"/>
    </row>
    <row r="113" ht="13.5" customHeight="1">
      <c r="A113" s="12" t="s">
        <v>275</v>
      </c>
      <c r="B113" s="12" t="s">
        <v>276</v>
      </c>
      <c r="C113" s="13">
        <v>88.7019123126802</v>
      </c>
      <c r="D113" s="13">
        <v>73.343779</v>
      </c>
      <c r="E113" s="13">
        <v>81.8775389147102</v>
      </c>
      <c r="F113" s="13">
        <v>60.0238912879072</v>
      </c>
      <c r="G113" s="5" t="s">
        <v>487</v>
      </c>
      <c r="H113" s="14"/>
    </row>
    <row r="114" ht="13.5" customHeight="1">
      <c r="A114" s="12" t="s">
        <v>279</v>
      </c>
      <c r="B114" s="12" t="s">
        <v>280</v>
      </c>
      <c r="C114" s="13">
        <v>91.8064930150922</v>
      </c>
      <c r="D114" s="13">
        <v>65.08357132</v>
      </c>
      <c r="E114" s="13">
        <v>100.0</v>
      </c>
      <c r="F114" s="13">
        <v>46.8699659261845</v>
      </c>
      <c r="G114" s="5" t="s">
        <v>487</v>
      </c>
      <c r="H114" s="14"/>
    </row>
    <row r="115" ht="13.5" customHeight="1">
      <c r="A115" s="12" t="s">
        <v>281</v>
      </c>
      <c r="B115" s="12" t="s">
        <v>282</v>
      </c>
      <c r="C115" s="13">
        <v>90.5685215496029</v>
      </c>
      <c r="D115" s="13">
        <v>77.99619587</v>
      </c>
      <c r="E115" s="13">
        <v>76.6731004276405</v>
      </c>
      <c r="F115" s="13">
        <v>56.9635151909628</v>
      </c>
      <c r="G115" s="5" t="s">
        <v>487</v>
      </c>
      <c r="H115" s="14"/>
    </row>
    <row r="116" ht="13.5" customHeight="1">
      <c r="A116" s="12" t="s">
        <v>285</v>
      </c>
      <c r="B116" s="12" t="s">
        <v>286</v>
      </c>
      <c r="C116" s="13">
        <v>77.5506855191892</v>
      </c>
      <c r="D116" s="13">
        <v>61.65973261</v>
      </c>
      <c r="E116" s="13">
        <v>44.1237368010451</v>
      </c>
      <c r="F116" s="13">
        <v>42.3493889873603</v>
      </c>
      <c r="G116" s="5" t="s">
        <v>487</v>
      </c>
      <c r="H116" s="14"/>
    </row>
    <row r="117" ht="13.5" customHeight="1">
      <c r="A117" s="12" t="s">
        <v>287</v>
      </c>
      <c r="B117" s="12" t="s">
        <v>288</v>
      </c>
      <c r="C117" s="13">
        <v>99.5850455918182</v>
      </c>
      <c r="D117" s="13">
        <v>80.68852407</v>
      </c>
      <c r="E117" s="13">
        <v>100.0</v>
      </c>
      <c r="F117" s="13">
        <v>13.3871697841606</v>
      </c>
      <c r="G117" s="5" t="s">
        <v>487</v>
      </c>
      <c r="H117" s="14"/>
    </row>
    <row r="118" ht="13.5" customHeight="1">
      <c r="A118" s="12" t="s">
        <v>91</v>
      </c>
      <c r="B118" s="12" t="s">
        <v>473</v>
      </c>
      <c r="C118" s="13">
        <v>99.440645819981</v>
      </c>
      <c r="D118" s="13">
        <v>75.38436892</v>
      </c>
      <c r="E118" s="13">
        <v>100.0</v>
      </c>
      <c r="F118" s="13">
        <v>24.0649749409928</v>
      </c>
      <c r="G118" s="5" t="s">
        <v>487</v>
      </c>
      <c r="H118" s="14"/>
    </row>
    <row r="119" ht="13.5" customHeight="1">
      <c r="A119" s="12" t="s">
        <v>289</v>
      </c>
      <c r="B119" s="12" t="s">
        <v>290</v>
      </c>
      <c r="C119" s="13">
        <v>63.5162402410128</v>
      </c>
      <c r="D119" s="13">
        <v>43.80683495</v>
      </c>
      <c r="E119" s="13">
        <v>51.3761009362791</v>
      </c>
      <c r="F119" s="13">
        <v>44.6054926017113</v>
      </c>
      <c r="G119" s="5" t="s">
        <v>487</v>
      </c>
      <c r="H119" s="14"/>
    </row>
    <row r="120" ht="13.5" customHeight="1">
      <c r="A120" s="12" t="s">
        <v>291</v>
      </c>
      <c r="B120" s="12" t="s">
        <v>292</v>
      </c>
      <c r="C120" s="13">
        <v>86.587063357164</v>
      </c>
      <c r="D120" s="13">
        <v>0.0</v>
      </c>
      <c r="E120" s="13">
        <v>39.2831903385014</v>
      </c>
      <c r="F120" s="13">
        <v>56.3320031104168</v>
      </c>
      <c r="G120" s="5" t="s">
        <v>487</v>
      </c>
      <c r="H120" s="14"/>
    </row>
    <row r="121" ht="13.5" customHeight="1">
      <c r="A121" s="12" t="s">
        <v>293</v>
      </c>
      <c r="B121" s="12" t="s">
        <v>294</v>
      </c>
      <c r="C121" s="13">
        <v>98.8810483522257</v>
      </c>
      <c r="D121" s="13">
        <v>65.05196793</v>
      </c>
      <c r="E121" s="13">
        <v>38.8202808656692</v>
      </c>
      <c r="F121" s="13">
        <v>24.3674719705307</v>
      </c>
      <c r="G121" s="5" t="s">
        <v>487</v>
      </c>
      <c r="H121" s="14"/>
    </row>
    <row r="122" ht="13.5" customHeight="1">
      <c r="A122" s="12" t="s">
        <v>295</v>
      </c>
      <c r="B122" s="12" t="s">
        <v>296</v>
      </c>
      <c r="C122" s="13">
        <v>54.6454188408308</v>
      </c>
      <c r="D122" s="13">
        <v>77.2000964</v>
      </c>
      <c r="E122" s="13">
        <v>58.2090714258842</v>
      </c>
      <c r="F122" s="13">
        <v>86.4503283569581</v>
      </c>
      <c r="G122" s="5" t="s">
        <v>487</v>
      </c>
      <c r="H122" s="14"/>
    </row>
    <row r="123" ht="13.5" customHeight="1">
      <c r="A123" s="12" t="s">
        <v>299</v>
      </c>
      <c r="B123" s="12" t="s">
        <v>300</v>
      </c>
      <c r="C123" s="13">
        <v>89.3786933300841</v>
      </c>
      <c r="D123" s="13">
        <v>80.1906262</v>
      </c>
      <c r="E123" s="13">
        <v>74.5433310852798</v>
      </c>
      <c r="F123" s="13">
        <v>82.9656602961492</v>
      </c>
      <c r="G123" s="5" t="s">
        <v>487</v>
      </c>
      <c r="H123" s="14"/>
    </row>
    <row r="124" ht="13.5" customHeight="1">
      <c r="A124" s="12" t="s">
        <v>301</v>
      </c>
      <c r="B124" s="12" t="s">
        <v>302</v>
      </c>
      <c r="C124" s="13">
        <v>86.9121915875451</v>
      </c>
      <c r="D124" s="13">
        <v>39.05985769</v>
      </c>
      <c r="E124" s="13">
        <v>42.4754148268113</v>
      </c>
      <c r="F124" s="13">
        <v>35.2896936211602</v>
      </c>
      <c r="G124" s="5" t="s">
        <v>487</v>
      </c>
      <c r="H124" s="14"/>
    </row>
    <row r="125" ht="13.5" customHeight="1">
      <c r="A125" s="12" t="s">
        <v>303</v>
      </c>
      <c r="B125" s="12" t="s">
        <v>304</v>
      </c>
      <c r="C125" s="13">
        <v>97.116678392698</v>
      </c>
      <c r="D125" s="13">
        <v>34.67616035</v>
      </c>
      <c r="E125" s="13">
        <v>100.0</v>
      </c>
      <c r="F125" s="13">
        <v>12.9273989784097</v>
      </c>
      <c r="G125" s="5" t="s">
        <v>487</v>
      </c>
      <c r="H125" s="14"/>
    </row>
    <row r="126" ht="13.5" customHeight="1">
      <c r="A126" s="12" t="s">
        <v>305</v>
      </c>
      <c r="B126" s="12" t="s">
        <v>306</v>
      </c>
      <c r="C126" s="13">
        <v>99.6628847712982</v>
      </c>
      <c r="D126" s="13">
        <v>65.32229249</v>
      </c>
      <c r="E126" s="13">
        <v>100.0</v>
      </c>
      <c r="F126" s="13">
        <v>35.5343377062188</v>
      </c>
      <c r="G126" s="5" t="s">
        <v>487</v>
      </c>
      <c r="H126" s="14"/>
    </row>
    <row r="127" ht="13.5" customHeight="1">
      <c r="A127" s="12" t="s">
        <v>311</v>
      </c>
      <c r="B127" s="12" t="s">
        <v>312</v>
      </c>
      <c r="C127" s="13">
        <v>84.9503755702897</v>
      </c>
      <c r="D127" s="13">
        <v>81.41604122</v>
      </c>
      <c r="E127" s="13">
        <v>56.4056710947356</v>
      </c>
      <c r="F127" s="13">
        <v>52.7915158016314</v>
      </c>
      <c r="G127" s="5" t="s">
        <v>487</v>
      </c>
      <c r="H127" s="14"/>
    </row>
    <row r="128" ht="13.5" customHeight="1">
      <c r="A128" s="12" t="s">
        <v>313</v>
      </c>
      <c r="B128" s="12" t="s">
        <v>314</v>
      </c>
      <c r="C128" s="13">
        <v>90.3614102051999</v>
      </c>
      <c r="D128" s="13">
        <v>78.79274974</v>
      </c>
      <c r="E128" s="13">
        <v>100.0</v>
      </c>
      <c r="F128" s="13">
        <v>94.5107719171752</v>
      </c>
      <c r="G128" s="5" t="s">
        <v>487</v>
      </c>
      <c r="H128" s="14"/>
    </row>
    <row r="129" ht="13.5" customHeight="1">
      <c r="A129" s="12" t="s">
        <v>315</v>
      </c>
      <c r="B129" s="12" t="s">
        <v>316</v>
      </c>
      <c r="C129" s="13">
        <v>95.5802556285862</v>
      </c>
      <c r="D129" s="13">
        <v>53.91305168</v>
      </c>
      <c r="E129" s="13">
        <v>100.0</v>
      </c>
      <c r="F129" s="13">
        <v>68.6343931648562</v>
      </c>
      <c r="G129" s="5" t="s">
        <v>487</v>
      </c>
      <c r="H129" s="14"/>
    </row>
    <row r="130" ht="13.5" customHeight="1">
      <c r="A130" s="12" t="s">
        <v>317</v>
      </c>
      <c r="B130" s="12" t="s">
        <v>318</v>
      </c>
      <c r="C130" s="13">
        <v>94.5331125569209</v>
      </c>
      <c r="D130" s="13">
        <v>90.36194474</v>
      </c>
      <c r="E130" s="13">
        <v>72.1216147745913</v>
      </c>
      <c r="F130" s="13">
        <v>29.7398549756188</v>
      </c>
      <c r="G130" s="5" t="s">
        <v>487</v>
      </c>
      <c r="H130" s="14"/>
    </row>
    <row r="131" ht="13.5" customHeight="1">
      <c r="A131" s="12" t="s">
        <v>321</v>
      </c>
      <c r="B131" s="12" t="s">
        <v>322</v>
      </c>
      <c r="C131" s="13">
        <v>85.4488189400868</v>
      </c>
      <c r="D131" s="13">
        <v>42.29335135</v>
      </c>
      <c r="E131" s="13">
        <v>45.6178835131961</v>
      </c>
      <c r="F131" s="13">
        <v>68.4198023054372</v>
      </c>
      <c r="G131" s="5" t="s">
        <v>487</v>
      </c>
      <c r="H131" s="14"/>
    </row>
    <row r="132" ht="13.5" customHeight="1">
      <c r="A132" s="12" t="s">
        <v>323</v>
      </c>
      <c r="B132" s="12" t="s">
        <v>324</v>
      </c>
      <c r="C132" s="13">
        <v>99.8552538132062</v>
      </c>
      <c r="D132" s="13">
        <v>38.62597021</v>
      </c>
      <c r="E132" s="13">
        <v>100.0</v>
      </c>
      <c r="F132" s="13">
        <v>37.1673041537009</v>
      </c>
      <c r="G132" s="5" t="s">
        <v>487</v>
      </c>
      <c r="H132" s="14"/>
    </row>
    <row r="133" ht="13.5" customHeight="1">
      <c r="A133" s="12" t="s">
        <v>325</v>
      </c>
      <c r="B133" s="12" t="s">
        <v>326</v>
      </c>
      <c r="C133" s="13">
        <v>99.9978578678408</v>
      </c>
      <c r="D133" s="13">
        <v>61.31839066</v>
      </c>
      <c r="E133" s="13">
        <v>100.0</v>
      </c>
      <c r="F133" s="13">
        <v>52.8951670613585</v>
      </c>
      <c r="G133" s="5" t="s">
        <v>487</v>
      </c>
      <c r="H133" s="14"/>
    </row>
    <row r="134" ht="13.5" customHeight="1">
      <c r="A134" s="12" t="s">
        <v>327</v>
      </c>
      <c r="B134" s="12" t="s">
        <v>328</v>
      </c>
      <c r="C134" s="13">
        <v>94.8628753906026</v>
      </c>
      <c r="D134" s="13">
        <v>76.09459255</v>
      </c>
      <c r="E134" s="13">
        <v>96.0580530222885</v>
      </c>
      <c r="F134" s="13">
        <v>53.0464935889185</v>
      </c>
      <c r="G134" s="5" t="s">
        <v>487</v>
      </c>
      <c r="H134" s="14"/>
    </row>
    <row r="135" ht="13.5" customHeight="1">
      <c r="A135" s="12" t="s">
        <v>329</v>
      </c>
      <c r="B135" s="12" t="s">
        <v>330</v>
      </c>
      <c r="C135" s="13">
        <v>97.1181002417162</v>
      </c>
      <c r="D135" s="13">
        <v>74.00138422</v>
      </c>
      <c r="E135" s="13">
        <v>54.5742112101539</v>
      </c>
      <c r="F135" s="13">
        <v>44.1657308259076</v>
      </c>
      <c r="G135" s="5" t="s">
        <v>487</v>
      </c>
      <c r="H135" s="14"/>
    </row>
    <row r="136" ht="13.5" customHeight="1">
      <c r="A136" s="12" t="s">
        <v>331</v>
      </c>
      <c r="B136" s="12" t="s">
        <v>332</v>
      </c>
      <c r="C136" s="13">
        <v>76.0274080563405</v>
      </c>
      <c r="D136" s="13">
        <v>81.72614933</v>
      </c>
      <c r="E136" s="13">
        <v>71.2311800466518</v>
      </c>
      <c r="F136" s="13">
        <v>69.2431277764139</v>
      </c>
      <c r="G136" s="5" t="s">
        <v>487</v>
      </c>
      <c r="H136" s="14"/>
    </row>
    <row r="137" ht="13.5" customHeight="1">
      <c r="A137" s="12" t="s">
        <v>333</v>
      </c>
      <c r="B137" s="12" t="s">
        <v>334</v>
      </c>
      <c r="C137" s="13">
        <v>53.5722219767528</v>
      </c>
      <c r="D137" s="13">
        <v>71.65525436</v>
      </c>
      <c r="E137" s="13">
        <v>56.0166245949782</v>
      </c>
      <c r="F137" s="13">
        <v>73.0371249520314</v>
      </c>
      <c r="G137" s="5" t="s">
        <v>487</v>
      </c>
      <c r="H137" s="14"/>
    </row>
    <row r="138" ht="13.5" customHeight="1">
      <c r="A138" s="12" t="s">
        <v>337</v>
      </c>
      <c r="B138" s="12" t="s">
        <v>338</v>
      </c>
      <c r="C138" s="13">
        <v>96.2129189571915</v>
      </c>
      <c r="D138" s="13">
        <v>42.2072517</v>
      </c>
      <c r="E138" s="13">
        <v>100.0</v>
      </c>
      <c r="F138" s="13">
        <v>89.7150781290715</v>
      </c>
      <c r="G138" s="5" t="s">
        <v>487</v>
      </c>
      <c r="H138" s="14"/>
    </row>
    <row r="139" ht="13.5" customHeight="1">
      <c r="A139" s="12" t="s">
        <v>381</v>
      </c>
      <c r="B139" s="12" t="s">
        <v>474</v>
      </c>
      <c r="C139" s="13">
        <v>93.5188107188906</v>
      </c>
      <c r="D139" s="13">
        <v>89.98480162</v>
      </c>
      <c r="E139" s="13">
        <v>55.9854506837962</v>
      </c>
      <c r="F139" s="13">
        <v>81.1305891017992</v>
      </c>
      <c r="G139" s="5" t="s">
        <v>487</v>
      </c>
      <c r="H139" s="14"/>
    </row>
    <row r="140" ht="13.5" customHeight="1">
      <c r="A140" s="12" t="s">
        <v>277</v>
      </c>
      <c r="B140" s="12" t="s">
        <v>475</v>
      </c>
      <c r="C140" s="13">
        <v>94.9201214960753</v>
      </c>
      <c r="D140" s="13">
        <v>64.70708252</v>
      </c>
      <c r="E140" s="13">
        <v>37.5882466900028</v>
      </c>
      <c r="F140" s="13">
        <v>43.8669848102011</v>
      </c>
      <c r="G140" s="5" t="s">
        <v>487</v>
      </c>
      <c r="H140" s="14"/>
    </row>
    <row r="141" ht="13.5" customHeight="1">
      <c r="A141" s="12" t="s">
        <v>339</v>
      </c>
      <c r="B141" s="12" t="s">
        <v>340</v>
      </c>
      <c r="C141" s="13">
        <v>77.9034813220547</v>
      </c>
      <c r="D141" s="13">
        <v>89.38355743</v>
      </c>
      <c r="E141" s="13">
        <v>82.3023305812618</v>
      </c>
      <c r="F141" s="13">
        <v>63.1846066595015</v>
      </c>
      <c r="G141" s="5" t="s">
        <v>487</v>
      </c>
      <c r="H141" s="14"/>
    </row>
    <row r="142" ht="13.5" customHeight="1">
      <c r="A142" s="12" t="s">
        <v>341</v>
      </c>
      <c r="B142" s="12" t="s">
        <v>476</v>
      </c>
      <c r="C142" s="13">
        <v>99.0117714751137</v>
      </c>
      <c r="D142" s="13">
        <v>80.1041044</v>
      </c>
      <c r="E142" s="13">
        <v>100.0</v>
      </c>
      <c r="F142" s="13">
        <v>61.2703777090976</v>
      </c>
      <c r="G142" s="5" t="s">
        <v>487</v>
      </c>
      <c r="H142" s="14"/>
    </row>
    <row r="143" ht="13.5" customHeight="1">
      <c r="A143" s="12" t="s">
        <v>343</v>
      </c>
      <c r="B143" s="12" t="s">
        <v>344</v>
      </c>
      <c r="C143" s="13">
        <v>96.3761647708198</v>
      </c>
      <c r="D143" s="13">
        <v>55.46710191</v>
      </c>
      <c r="E143" s="13">
        <v>50.2326309607348</v>
      </c>
      <c r="F143" s="13">
        <v>22.3381773609743</v>
      </c>
      <c r="G143" s="5" t="s">
        <v>487</v>
      </c>
      <c r="H143" s="14"/>
    </row>
    <row r="144" ht="13.5" customHeight="1">
      <c r="A144" s="12" t="s">
        <v>347</v>
      </c>
      <c r="B144" s="12" t="s">
        <v>348</v>
      </c>
      <c r="C144" s="13">
        <v>94.7445503737997</v>
      </c>
      <c r="D144" s="13">
        <v>0.0</v>
      </c>
      <c r="E144" s="13">
        <v>43.5053757948904</v>
      </c>
      <c r="F144" s="13">
        <v>72.3154244716037</v>
      </c>
      <c r="G144" s="5" t="s">
        <v>487</v>
      </c>
      <c r="H144" s="14"/>
    </row>
    <row r="145" ht="13.5" customHeight="1">
      <c r="A145" s="12" t="s">
        <v>349</v>
      </c>
      <c r="B145" s="12" t="s">
        <v>350</v>
      </c>
      <c r="C145" s="13">
        <v>97.7138719701287</v>
      </c>
      <c r="D145" s="13">
        <v>0.0</v>
      </c>
      <c r="E145" s="13">
        <v>32.5958770328586</v>
      </c>
      <c r="F145" s="13">
        <v>62.8250139835724</v>
      </c>
      <c r="G145" s="5" t="s">
        <v>487</v>
      </c>
      <c r="H145" s="14"/>
    </row>
    <row r="146" ht="13.5" customHeight="1">
      <c r="A146" s="12" t="s">
        <v>353</v>
      </c>
      <c r="B146" s="12" t="s">
        <v>477</v>
      </c>
      <c r="C146" s="13">
        <v>98.4719273683925</v>
      </c>
      <c r="D146" s="13">
        <v>0.0</v>
      </c>
      <c r="E146" s="13">
        <v>43.2480054451618</v>
      </c>
      <c r="F146" s="13">
        <v>58.6922215351056</v>
      </c>
      <c r="G146" s="5" t="s">
        <v>487</v>
      </c>
      <c r="H146" s="14"/>
    </row>
    <row r="147" ht="13.5" customHeight="1">
      <c r="A147" s="12" t="s">
        <v>355</v>
      </c>
      <c r="B147" s="12" t="s">
        <v>356</v>
      </c>
      <c r="C147" s="13">
        <v>83.0751383673351</v>
      </c>
      <c r="D147" s="13">
        <v>0.0</v>
      </c>
      <c r="E147" s="13">
        <v>40.4857090712705</v>
      </c>
      <c r="F147" s="13">
        <v>47.7492584649993</v>
      </c>
      <c r="G147" s="5" t="s">
        <v>487</v>
      </c>
      <c r="H147" s="14"/>
    </row>
    <row r="148" ht="13.5" customHeight="1">
      <c r="A148" s="12" t="s">
        <v>357</v>
      </c>
      <c r="B148" s="12" t="s">
        <v>358</v>
      </c>
      <c r="C148" s="13">
        <v>100.0</v>
      </c>
      <c r="D148" s="13">
        <v>0.0</v>
      </c>
      <c r="E148" s="13">
        <v>29.5636101079553</v>
      </c>
      <c r="F148" s="13">
        <v>26.8660714471978</v>
      </c>
      <c r="G148" s="5" t="s">
        <v>487</v>
      </c>
      <c r="H148" s="14"/>
    </row>
    <row r="149" ht="13.5" customHeight="1">
      <c r="A149" s="12" t="s">
        <v>359</v>
      </c>
      <c r="B149" s="12" t="s">
        <v>360</v>
      </c>
      <c r="C149" s="13">
        <v>99.294188713232</v>
      </c>
      <c r="D149" s="13">
        <v>59.34103686</v>
      </c>
      <c r="E149" s="13">
        <v>100.0</v>
      </c>
      <c r="F149" s="13">
        <v>74.7335018494706</v>
      </c>
      <c r="G149" s="5" t="s">
        <v>487</v>
      </c>
      <c r="H149" s="14"/>
    </row>
    <row r="150" ht="13.5" customHeight="1">
      <c r="A150" s="12" t="s">
        <v>361</v>
      </c>
      <c r="B150" s="12" t="s">
        <v>362</v>
      </c>
      <c r="C150" s="13">
        <v>85.6915939532364</v>
      </c>
      <c r="D150" s="13">
        <v>14.26023088</v>
      </c>
      <c r="E150" s="13">
        <v>44.3883093621283</v>
      </c>
      <c r="F150" s="13">
        <v>28.512056314518</v>
      </c>
      <c r="G150" s="5" t="s">
        <v>487</v>
      </c>
      <c r="H150" s="14"/>
    </row>
    <row r="151" ht="13.5" customHeight="1">
      <c r="A151" s="12" t="s">
        <v>363</v>
      </c>
      <c r="B151" s="12" t="s">
        <v>364</v>
      </c>
      <c r="C151" s="13">
        <v>96.0172966284498</v>
      </c>
      <c r="D151" s="13">
        <v>86.10691003</v>
      </c>
      <c r="E151" s="13">
        <v>71.4824988455505</v>
      </c>
      <c r="F151" s="13">
        <v>57.0409641962084</v>
      </c>
      <c r="G151" s="5" t="s">
        <v>487</v>
      </c>
      <c r="H151" s="14"/>
    </row>
    <row r="152" ht="13.5" customHeight="1">
      <c r="A152" s="12" t="s">
        <v>365</v>
      </c>
      <c r="B152" s="12" t="s">
        <v>366</v>
      </c>
      <c r="C152" s="13">
        <v>84.6120500602713</v>
      </c>
      <c r="D152" s="13">
        <v>0.0</v>
      </c>
      <c r="E152" s="13">
        <v>34.5571866991687</v>
      </c>
      <c r="F152" s="13">
        <v>67.9217532751665</v>
      </c>
      <c r="G152" s="5" t="s">
        <v>487</v>
      </c>
      <c r="H152" s="14"/>
    </row>
    <row r="153" ht="13.5" customHeight="1">
      <c r="A153" s="12" t="s">
        <v>367</v>
      </c>
      <c r="B153" s="12" t="s">
        <v>368</v>
      </c>
      <c r="C153" s="13">
        <v>88.9211343113969</v>
      </c>
      <c r="D153" s="13">
        <v>7.539005473</v>
      </c>
      <c r="E153" s="13">
        <v>39.8193127000302</v>
      </c>
      <c r="F153" s="13">
        <v>23.760966491236</v>
      </c>
      <c r="G153" s="5" t="s">
        <v>487</v>
      </c>
      <c r="H153" s="14"/>
    </row>
    <row r="154" ht="13.5" customHeight="1">
      <c r="A154" s="12" t="s">
        <v>369</v>
      </c>
      <c r="B154" s="12" t="s">
        <v>370</v>
      </c>
      <c r="C154" s="13">
        <v>97.7569891908688</v>
      </c>
      <c r="D154" s="13">
        <v>31.57187495</v>
      </c>
      <c r="E154" s="13">
        <v>49.8916208018772</v>
      </c>
      <c r="F154" s="13">
        <v>91.1630470775635</v>
      </c>
      <c r="G154" s="5" t="s">
        <v>487</v>
      </c>
      <c r="H154" s="14"/>
    </row>
    <row r="155" ht="13.5" customHeight="1">
      <c r="A155" s="12" t="s">
        <v>371</v>
      </c>
      <c r="B155" s="12" t="s">
        <v>372</v>
      </c>
      <c r="C155" s="13">
        <v>97.5531845870338</v>
      </c>
      <c r="D155" s="13">
        <v>92.73486975</v>
      </c>
      <c r="E155" s="13">
        <v>64.721257260178</v>
      </c>
      <c r="F155" s="13">
        <v>70.7924641133933</v>
      </c>
      <c r="G155" s="5" t="s">
        <v>487</v>
      </c>
      <c r="H155" s="14"/>
    </row>
    <row r="156" ht="13.5" customHeight="1">
      <c r="A156" s="12" t="s">
        <v>373</v>
      </c>
      <c r="B156" s="12" t="s">
        <v>374</v>
      </c>
      <c r="C156" s="13">
        <v>89.0683431649471</v>
      </c>
      <c r="D156" s="13">
        <v>91.28769567</v>
      </c>
      <c r="E156" s="13">
        <v>71.0601978319314</v>
      </c>
      <c r="F156" s="13">
        <v>75.3836308681316</v>
      </c>
      <c r="G156" s="5" t="s">
        <v>487</v>
      </c>
      <c r="H156" s="14"/>
    </row>
    <row r="157" ht="13.5" customHeight="1">
      <c r="A157" s="12" t="s">
        <v>375</v>
      </c>
      <c r="B157" s="12" t="s">
        <v>478</v>
      </c>
      <c r="C157" s="13">
        <v>93.8812887912456</v>
      </c>
      <c r="D157" s="13">
        <v>0.0</v>
      </c>
      <c r="E157" s="13">
        <v>36.9324919563355</v>
      </c>
      <c r="F157" s="13">
        <v>31.3806319812921</v>
      </c>
      <c r="G157" s="5" t="s">
        <v>487</v>
      </c>
      <c r="H157" s="14"/>
    </row>
    <row r="158" ht="13.5" customHeight="1">
      <c r="A158" s="12" t="s">
        <v>377</v>
      </c>
      <c r="B158" s="12" t="s">
        <v>378</v>
      </c>
      <c r="C158" s="13">
        <v>80.6686768984602</v>
      </c>
      <c r="D158" s="13">
        <v>0.0</v>
      </c>
      <c r="E158" s="13">
        <v>28.4251294112976</v>
      </c>
      <c r="F158" s="13">
        <v>9.11221019990712</v>
      </c>
      <c r="G158" s="5" t="s">
        <v>487</v>
      </c>
      <c r="H158" s="14"/>
    </row>
    <row r="159" ht="13.5" customHeight="1">
      <c r="A159" s="12" t="s">
        <v>379</v>
      </c>
      <c r="B159" s="12" t="s">
        <v>380</v>
      </c>
      <c r="C159" s="13">
        <v>88.1852266013056</v>
      </c>
      <c r="D159" s="13">
        <v>56.74853093</v>
      </c>
      <c r="E159" s="13">
        <v>100.0</v>
      </c>
      <c r="F159" s="13">
        <v>50.3499908682046</v>
      </c>
      <c r="G159" s="5" t="s">
        <v>487</v>
      </c>
      <c r="H159" s="14"/>
    </row>
    <row r="160" ht="13.5" customHeight="1">
      <c r="A160" s="12" t="s">
        <v>385</v>
      </c>
      <c r="B160" s="12" t="s">
        <v>386</v>
      </c>
      <c r="C160" s="13">
        <v>56.3740308151645</v>
      </c>
      <c r="D160" s="13">
        <v>77.89672562</v>
      </c>
      <c r="E160" s="13">
        <v>56.2738186224025</v>
      </c>
      <c r="F160" s="13">
        <v>77.23560600587</v>
      </c>
      <c r="G160" s="5" t="s">
        <v>487</v>
      </c>
      <c r="H160" s="14"/>
    </row>
    <row r="161" ht="13.5" customHeight="1">
      <c r="A161" s="12" t="s">
        <v>387</v>
      </c>
      <c r="B161" s="12" t="s">
        <v>388</v>
      </c>
      <c r="C161" s="13">
        <v>87.9407507205175</v>
      </c>
      <c r="D161" s="13">
        <v>45.6304102</v>
      </c>
      <c r="E161" s="13">
        <v>50.4880541008062</v>
      </c>
      <c r="F161" s="13">
        <v>45.2712123945854</v>
      </c>
      <c r="G161" s="5" t="s">
        <v>487</v>
      </c>
      <c r="H161" s="14"/>
    </row>
    <row r="162" ht="13.5" customHeight="1">
      <c r="A162" s="12" t="s">
        <v>319</v>
      </c>
      <c r="B162" s="12" t="s">
        <v>479</v>
      </c>
      <c r="C162" s="13">
        <v>60.6834587814991</v>
      </c>
      <c r="D162" s="13">
        <v>49.64915163</v>
      </c>
      <c r="E162" s="13">
        <v>30.1452137932443</v>
      </c>
      <c r="F162" s="13">
        <v>35.0571508082089</v>
      </c>
      <c r="G162" s="5" t="s">
        <v>487</v>
      </c>
      <c r="H162" s="14"/>
    </row>
    <row r="163" ht="13.5" customHeight="1">
      <c r="A163" s="12" t="s">
        <v>389</v>
      </c>
      <c r="B163" s="12" t="s">
        <v>390</v>
      </c>
      <c r="C163" s="13">
        <v>98.9186553097871</v>
      </c>
      <c r="D163" s="13">
        <v>39.54272982</v>
      </c>
      <c r="E163" s="13">
        <v>62.9783195179645</v>
      </c>
      <c r="F163" s="13">
        <v>12.6256178027451</v>
      </c>
      <c r="G163" s="5" t="s">
        <v>487</v>
      </c>
      <c r="H163" s="14"/>
    </row>
    <row r="164" ht="13.5" customHeight="1">
      <c r="A164" s="12" t="s">
        <v>391</v>
      </c>
      <c r="B164" s="12" t="s">
        <v>392</v>
      </c>
      <c r="C164" s="13">
        <v>99.2148703582655</v>
      </c>
      <c r="D164" s="13">
        <v>21.5082529</v>
      </c>
      <c r="E164" s="13">
        <v>99.8425042231228</v>
      </c>
      <c r="F164" s="13">
        <v>54.2581147102309</v>
      </c>
      <c r="G164" s="5" t="s">
        <v>487</v>
      </c>
      <c r="H164" s="14"/>
    </row>
    <row r="165" ht="13.5" customHeight="1">
      <c r="A165" s="12" t="s">
        <v>393</v>
      </c>
      <c r="B165" s="12" t="s">
        <v>394</v>
      </c>
      <c r="C165" s="13">
        <v>74.0735603578734</v>
      </c>
      <c r="D165" s="13">
        <v>87.33050869</v>
      </c>
      <c r="E165" s="13">
        <v>81.9957695278505</v>
      </c>
      <c r="F165" s="13">
        <v>87.4314364536735</v>
      </c>
      <c r="G165" s="5" t="s">
        <v>487</v>
      </c>
      <c r="H165" s="14"/>
    </row>
    <row r="166" ht="13.5" customHeight="1">
      <c r="A166" s="12" t="s">
        <v>395</v>
      </c>
      <c r="B166" s="12" t="s">
        <v>396</v>
      </c>
      <c r="C166" s="13">
        <v>92.299788557963</v>
      </c>
      <c r="D166" s="13">
        <v>85.91977663</v>
      </c>
      <c r="E166" s="13">
        <v>71.7140881184614</v>
      </c>
      <c r="F166" s="13">
        <v>96.2911017447963</v>
      </c>
      <c r="G166" s="5" t="s">
        <v>487</v>
      </c>
      <c r="H166" s="14"/>
    </row>
    <row r="167" ht="13.5" customHeight="1">
      <c r="A167" s="12" t="s">
        <v>401</v>
      </c>
      <c r="B167" s="12" t="s">
        <v>402</v>
      </c>
      <c r="C167" s="13">
        <v>99.994862597276</v>
      </c>
      <c r="D167" s="13">
        <v>85.07121443</v>
      </c>
      <c r="E167" s="13">
        <v>81.2305184808132</v>
      </c>
      <c r="F167" s="13">
        <v>28.2794971053876</v>
      </c>
      <c r="G167" s="5" t="s">
        <v>487</v>
      </c>
      <c r="H167" s="14"/>
    </row>
    <row r="168" ht="13.5" customHeight="1">
      <c r="A168" s="12" t="s">
        <v>405</v>
      </c>
      <c r="B168" s="12" t="s">
        <v>406</v>
      </c>
      <c r="C168" s="13">
        <v>95.2360001232858</v>
      </c>
      <c r="D168" s="13">
        <v>81.17971761</v>
      </c>
      <c r="E168" s="13">
        <v>63.4803865776028</v>
      </c>
      <c r="F168" s="13">
        <v>52.7610254007113</v>
      </c>
      <c r="G168" s="5" t="s">
        <v>487</v>
      </c>
      <c r="H168" s="14"/>
    </row>
    <row r="169" ht="13.5" customHeight="1">
      <c r="A169" s="12" t="s">
        <v>409</v>
      </c>
      <c r="B169" s="12" t="s">
        <v>410</v>
      </c>
      <c r="C169" s="13">
        <v>99.7768594228685</v>
      </c>
      <c r="D169" s="13">
        <v>0.0</v>
      </c>
      <c r="E169" s="13">
        <v>65.8268083550065</v>
      </c>
      <c r="F169" s="13">
        <v>23.9328030358152</v>
      </c>
      <c r="G169" s="5" t="s">
        <v>487</v>
      </c>
      <c r="H169" s="14"/>
    </row>
    <row r="170" ht="13.5" customHeight="1">
      <c r="A170" s="12" t="s">
        <v>411</v>
      </c>
      <c r="B170" s="12" t="s">
        <v>412</v>
      </c>
      <c r="C170" s="13">
        <v>82.3159150832008</v>
      </c>
      <c r="D170" s="13">
        <v>59.24646791</v>
      </c>
      <c r="E170" s="13">
        <v>36.5908165073104</v>
      </c>
      <c r="F170" s="13">
        <v>22.505567001131</v>
      </c>
      <c r="G170" s="5" t="s">
        <v>487</v>
      </c>
      <c r="H170" s="14"/>
    </row>
    <row r="171" ht="13.5" customHeight="1">
      <c r="A171" s="12" t="s">
        <v>413</v>
      </c>
      <c r="B171" s="12" t="s">
        <v>414</v>
      </c>
      <c r="C171" s="13">
        <v>87.8569110983351</v>
      </c>
      <c r="D171" s="13">
        <v>0.0</v>
      </c>
      <c r="E171" s="13">
        <v>36.1698267021425</v>
      </c>
      <c r="F171" s="13">
        <v>47.4061834221517</v>
      </c>
      <c r="G171" s="5" t="s">
        <v>487</v>
      </c>
      <c r="H171" s="14"/>
    </row>
    <row r="172" ht="13.5" customHeight="1">
      <c r="A172" s="12" t="s">
        <v>415</v>
      </c>
      <c r="B172" s="12" t="s">
        <v>416</v>
      </c>
      <c r="C172" s="13">
        <v>99.9282869571369</v>
      </c>
      <c r="D172" s="13">
        <v>19.46726716</v>
      </c>
      <c r="E172" s="13">
        <v>100.0</v>
      </c>
      <c r="F172" s="13">
        <v>67.621482447258</v>
      </c>
      <c r="G172" s="5" t="s">
        <v>487</v>
      </c>
      <c r="H172" s="14"/>
    </row>
    <row r="173" ht="13.5" customHeight="1">
      <c r="A173" s="12" t="s">
        <v>417</v>
      </c>
      <c r="B173" s="12" t="s">
        <v>418</v>
      </c>
      <c r="C173" s="13">
        <v>95.6601064959787</v>
      </c>
      <c r="D173" s="13">
        <v>65.93467027</v>
      </c>
      <c r="E173" s="13">
        <v>53.0858820526718</v>
      </c>
      <c r="F173" s="13">
        <v>44.4981589344584</v>
      </c>
      <c r="G173" s="5" t="s">
        <v>487</v>
      </c>
      <c r="H173" s="14"/>
    </row>
    <row r="174" ht="13.5" customHeight="1">
      <c r="A174" s="12" t="s">
        <v>421</v>
      </c>
      <c r="B174" s="12" t="s">
        <v>422</v>
      </c>
      <c r="C174" s="13">
        <v>100.0</v>
      </c>
      <c r="D174" s="13">
        <v>28.7792717</v>
      </c>
      <c r="E174" s="13">
        <v>100.0</v>
      </c>
      <c r="F174" s="13">
        <v>56.3539256839685</v>
      </c>
      <c r="G174" s="5" t="s">
        <v>487</v>
      </c>
      <c r="H174" s="14"/>
    </row>
    <row r="175" ht="13.5" customHeight="1">
      <c r="A175" s="12" t="s">
        <v>419</v>
      </c>
      <c r="B175" s="12" t="s">
        <v>480</v>
      </c>
      <c r="C175" s="13">
        <v>80.0631864380643</v>
      </c>
      <c r="D175" s="13">
        <v>89.12612407</v>
      </c>
      <c r="E175" s="13">
        <v>51.7946100135217</v>
      </c>
      <c r="F175" s="13">
        <v>66.6681786534786</v>
      </c>
      <c r="G175" s="5" t="s">
        <v>487</v>
      </c>
      <c r="H175" s="14"/>
    </row>
    <row r="176" ht="13.5" customHeight="1">
      <c r="A176" s="12" t="s">
        <v>435</v>
      </c>
      <c r="B176" s="12" t="s">
        <v>435</v>
      </c>
      <c r="C176" s="13">
        <v>82.796873919589</v>
      </c>
      <c r="D176" s="13">
        <v>87.76312603</v>
      </c>
      <c r="E176" s="13">
        <v>100.0</v>
      </c>
      <c r="F176" s="13">
        <v>90.8523760419526</v>
      </c>
      <c r="G176" s="5" t="s">
        <v>487</v>
      </c>
      <c r="H176" s="14"/>
    </row>
    <row r="177" ht="13.5" customHeight="1">
      <c r="A177" s="12" t="s">
        <v>427</v>
      </c>
      <c r="B177" s="12" t="s">
        <v>428</v>
      </c>
      <c r="C177" s="13">
        <v>97.1135760216955</v>
      </c>
      <c r="D177" s="13">
        <v>37.91375362</v>
      </c>
      <c r="E177" s="13">
        <v>51.0338422192264</v>
      </c>
      <c r="F177" s="13">
        <v>21.4116262710083</v>
      </c>
      <c r="G177" s="5" t="s">
        <v>487</v>
      </c>
      <c r="H177" s="14"/>
    </row>
    <row r="178" ht="13.5" customHeight="1">
      <c r="A178" s="12" t="s">
        <v>429</v>
      </c>
      <c r="B178" s="12" t="s">
        <v>430</v>
      </c>
      <c r="C178" s="13">
        <v>94.1014044863972</v>
      </c>
      <c r="D178" s="13">
        <v>94.34657332</v>
      </c>
      <c r="E178" s="13">
        <v>84.6649944502021</v>
      </c>
      <c r="F178" s="13">
        <v>34.821011363495</v>
      </c>
      <c r="G178" s="5" t="s">
        <v>487</v>
      </c>
      <c r="H178" s="14"/>
    </row>
    <row r="179" ht="13.5" customHeight="1">
      <c r="A179" s="12" t="s">
        <v>431</v>
      </c>
      <c r="B179" s="12" t="s">
        <v>432</v>
      </c>
      <c r="C179" s="13">
        <v>94.6017038215654</v>
      </c>
      <c r="D179" s="13">
        <v>72.01347385</v>
      </c>
      <c r="E179" s="13">
        <v>100.0</v>
      </c>
      <c r="F179" s="13">
        <v>83.0410187406453</v>
      </c>
      <c r="G179" s="5" t="s">
        <v>487</v>
      </c>
      <c r="H179" s="14"/>
    </row>
    <row r="180" ht="13.5" customHeight="1">
      <c r="A180" s="12" t="s">
        <v>433</v>
      </c>
      <c r="B180" s="12" t="s">
        <v>434</v>
      </c>
      <c r="C180" s="13">
        <v>63.556654676086</v>
      </c>
      <c r="D180" s="13">
        <v>81.03082153</v>
      </c>
      <c r="E180" s="13">
        <v>75.4706353740387</v>
      </c>
      <c r="F180" s="13">
        <v>85.3615326879905</v>
      </c>
      <c r="G180" s="5" t="s">
        <v>487</v>
      </c>
      <c r="H180" s="14"/>
    </row>
    <row r="181" ht="13.5" customHeight="1">
      <c r="A181" s="12" t="s">
        <v>403</v>
      </c>
      <c r="B181" s="12" t="s">
        <v>481</v>
      </c>
      <c r="C181" s="13">
        <v>99.5552384149844</v>
      </c>
      <c r="D181" s="13">
        <v>68.41016893</v>
      </c>
      <c r="E181" s="13">
        <v>66.8761621688462</v>
      </c>
      <c r="F181" s="13">
        <v>23.5200537155043</v>
      </c>
      <c r="G181" s="5" t="s">
        <v>487</v>
      </c>
      <c r="H181" s="14"/>
    </row>
    <row r="182" ht="13.5" customHeight="1">
      <c r="A182" s="12" t="s">
        <v>437</v>
      </c>
      <c r="B182" s="12" t="s">
        <v>438</v>
      </c>
      <c r="C182" s="13">
        <v>57.2251823544163</v>
      </c>
      <c r="D182" s="13">
        <v>60.40226956</v>
      </c>
      <c r="E182" s="13">
        <v>64.4571295595987</v>
      </c>
      <c r="F182" s="13">
        <v>70.1539717943013</v>
      </c>
      <c r="G182" s="5" t="s">
        <v>487</v>
      </c>
      <c r="H182" s="14"/>
    </row>
    <row r="183" ht="13.5" customHeight="1">
      <c r="A183" s="12" t="s">
        <v>439</v>
      </c>
      <c r="B183" s="12" t="s">
        <v>440</v>
      </c>
      <c r="C183" s="13">
        <v>99.3182096860859</v>
      </c>
      <c r="D183" s="13">
        <v>41.17592293</v>
      </c>
      <c r="E183" s="13">
        <v>86.8334683176011</v>
      </c>
      <c r="F183" s="13">
        <v>46.3312981775508</v>
      </c>
      <c r="G183" s="5" t="s">
        <v>487</v>
      </c>
      <c r="H183" s="14"/>
    </row>
    <row r="184" ht="13.5" customHeight="1">
      <c r="A184" s="12" t="s">
        <v>441</v>
      </c>
      <c r="B184" s="12" t="s">
        <v>442</v>
      </c>
      <c r="C184" s="13">
        <v>86.2551742396575</v>
      </c>
      <c r="D184" s="13">
        <v>0.0</v>
      </c>
      <c r="E184" s="13">
        <v>44.4086315731393</v>
      </c>
      <c r="F184" s="13">
        <v>40.9200672910539</v>
      </c>
      <c r="G184" s="5" t="s">
        <v>487</v>
      </c>
      <c r="H184" s="14"/>
    </row>
    <row r="185" ht="13.5" customHeight="1">
      <c r="A185" s="12" t="s">
        <v>443</v>
      </c>
      <c r="B185" s="12" t="s">
        <v>444</v>
      </c>
      <c r="C185" s="13">
        <v>99.9630921762173</v>
      </c>
      <c r="D185" s="13">
        <v>71.29980584</v>
      </c>
      <c r="E185" s="13">
        <v>100.0</v>
      </c>
      <c r="F185" s="13">
        <v>28.3331619324055</v>
      </c>
      <c r="G185" s="5" t="s">
        <v>487</v>
      </c>
      <c r="H185" s="14"/>
    </row>
    <row r="186" ht="13.5" customHeight="1">
      <c r="A186" s="12" t="s">
        <v>445</v>
      </c>
      <c r="B186" s="12" t="s">
        <v>482</v>
      </c>
      <c r="C186" s="13">
        <v>85.4383796187661</v>
      </c>
      <c r="D186" s="13">
        <v>76.88028188</v>
      </c>
      <c r="E186" s="13">
        <v>75.8678581986123</v>
      </c>
      <c r="F186" s="13">
        <v>44.5240443113894</v>
      </c>
      <c r="G186" s="5" t="s">
        <v>487</v>
      </c>
      <c r="H186" s="14"/>
    </row>
    <row r="187" ht="13.5" customHeight="1">
      <c r="A187" s="12" t="s">
        <v>449</v>
      </c>
      <c r="B187" s="12" t="s">
        <v>450</v>
      </c>
      <c r="C187" s="13">
        <v>99.1496491349122</v>
      </c>
      <c r="D187" s="13">
        <v>81.19329059</v>
      </c>
      <c r="E187" s="13">
        <v>78.1886852757817</v>
      </c>
      <c r="F187" s="13">
        <v>26.5037733449151</v>
      </c>
      <c r="G187" s="5" t="s">
        <v>487</v>
      </c>
      <c r="H187" s="14"/>
    </row>
    <row r="188" ht="13.5" customHeight="1">
      <c r="A188" s="12" t="s">
        <v>451</v>
      </c>
      <c r="B188" s="12" t="s">
        <v>452</v>
      </c>
      <c r="C188" s="13">
        <v>99.6486306405956</v>
      </c>
      <c r="D188" s="13">
        <v>71.55278438</v>
      </c>
      <c r="E188" s="13">
        <v>81.8719902726531</v>
      </c>
      <c r="F188" s="13">
        <v>27.379988967538</v>
      </c>
      <c r="G188" s="5" t="s">
        <v>487</v>
      </c>
      <c r="H188" s="14"/>
    </row>
    <row r="189" ht="15.0" customHeight="1">
      <c r="A189" s="12" t="s">
        <v>454</v>
      </c>
      <c r="B189" s="12" t="s">
        <v>470</v>
      </c>
      <c r="C189" s="13"/>
      <c r="D189" s="13">
        <v>0.0</v>
      </c>
      <c r="E189" s="13">
        <v>48.5009756848208</v>
      </c>
      <c r="F189" s="13">
        <v>39.7447692099913</v>
      </c>
      <c r="G189" s="5" t="s">
        <v>488</v>
      </c>
      <c r="H189" s="14" t="s">
        <v>489</v>
      </c>
    </row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conditionalFormatting sqref="G2:G189">
    <cfRule type="expression" dxfId="6" priority="1">
      <formula>G2="Yes"</formula>
    </cfRule>
  </conditionalFormatting>
  <conditionalFormatting sqref="G2:G189">
    <cfRule type="expression" dxfId="0" priority="2">
      <formula>G2="No"</formula>
    </cfRule>
  </conditionalFormatting>
  <dataValidations>
    <dataValidation type="custom" allowBlank="1" showDropDown="1" sqref="C2:F189">
      <formula1>AND(ISNUMBER(C2),(NOT(OR(NOT(ISERROR(DATEVALUE(C2))), AND(ISNUMBER(C2), LEFT(CELL("format", C2))="D")))))</formula1>
    </dataValidation>
    <dataValidation type="list" allowBlank="1" showDropDown="1" showErrorMessage="1" sqref="G2:G189">
      <formula1>"Yes,No"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14"/>
    <col customWidth="1" min="2" max="2" width="30.0"/>
    <col customWidth="1" min="3" max="3" width="10.0"/>
    <col customWidth="1" min="4" max="7" width="16.0"/>
    <col customWidth="1" min="8" max="8" width="21.43"/>
    <col customWidth="1" min="9" max="9" width="27.43"/>
    <col customWidth="1" min="10" max="26" width="8.86"/>
  </cols>
  <sheetData>
    <row r="1" ht="31.5" customHeight="1">
      <c r="A1" s="11" t="s">
        <v>490</v>
      </c>
      <c r="B1" s="11" t="s">
        <v>31</v>
      </c>
      <c r="C1" s="11" t="s">
        <v>30</v>
      </c>
      <c r="D1" s="11" t="s">
        <v>32</v>
      </c>
      <c r="E1" s="11" t="s">
        <v>453</v>
      </c>
      <c r="F1" s="11" t="s">
        <v>456</v>
      </c>
      <c r="G1" s="11" t="s">
        <v>484</v>
      </c>
      <c r="H1" s="11" t="s">
        <v>491</v>
      </c>
      <c r="I1" s="11" t="s">
        <v>483</v>
      </c>
    </row>
    <row r="2" ht="13.5" customHeight="1">
      <c r="A2" s="15">
        <v>1.0</v>
      </c>
      <c r="B2" s="12" t="s">
        <v>314</v>
      </c>
      <c r="C2" s="12" t="s">
        <v>313</v>
      </c>
      <c r="D2" s="13">
        <v>90.3614102051999</v>
      </c>
      <c r="E2" s="13">
        <v>78.79274974</v>
      </c>
      <c r="F2" s="13">
        <v>100.0</v>
      </c>
      <c r="G2" s="13">
        <v>94.5107719171752</v>
      </c>
      <c r="H2" s="13">
        <f>D2*Parameters!$B$2+E2*Parameters!$B$3+F2*Parameters!$B$4+G2*Parameters!$B$5</f>
        <v>90.91623297</v>
      </c>
      <c r="I2" s="16">
        <v>83487.13323</v>
      </c>
    </row>
    <row r="3" ht="13.5" customHeight="1">
      <c r="A3" s="15">
        <f t="shared" ref="A3:A188" si="1">A2+1</f>
        <v>2</v>
      </c>
      <c r="B3" s="12" t="s">
        <v>435</v>
      </c>
      <c r="C3" s="12" t="s">
        <v>435</v>
      </c>
      <c r="D3" s="13">
        <v>82.796873919589</v>
      </c>
      <c r="E3" s="13">
        <v>87.76312603</v>
      </c>
      <c r="F3" s="13">
        <v>100.0</v>
      </c>
      <c r="G3" s="13">
        <v>90.8523760419526</v>
      </c>
      <c r="H3" s="13">
        <f>D3*Parameters!$B$2+E3*Parameters!$B$3+F3*Parameters!$B$4+G3*Parameters!$B$5</f>
        <v>90.353094</v>
      </c>
      <c r="I3" s="16">
        <v>66856.51317</v>
      </c>
    </row>
    <row r="4" ht="13.5" customHeight="1">
      <c r="A4" s="15">
        <f t="shared" si="1"/>
        <v>3</v>
      </c>
      <c r="B4" s="12" t="s">
        <v>102</v>
      </c>
      <c r="C4" s="12" t="s">
        <v>101</v>
      </c>
      <c r="D4" s="13">
        <v>91.132373158891</v>
      </c>
      <c r="E4" s="13">
        <v>83.63085815</v>
      </c>
      <c r="F4" s="13">
        <v>100.0</v>
      </c>
      <c r="G4" s="13">
        <v>84.3551367946432</v>
      </c>
      <c r="H4" s="13">
        <f>D4*Parameters!$B$2+E4*Parameters!$B$3+F4*Parameters!$B$4+G4*Parameters!$B$5</f>
        <v>89.77959203</v>
      </c>
      <c r="I4" s="16">
        <v>45061.38646</v>
      </c>
    </row>
    <row r="5" ht="13.5" customHeight="1">
      <c r="A5" s="15">
        <f t="shared" si="1"/>
        <v>4</v>
      </c>
      <c r="B5" s="12" t="s">
        <v>432</v>
      </c>
      <c r="C5" s="12" t="s">
        <v>431</v>
      </c>
      <c r="D5" s="13">
        <v>94.6017038215654</v>
      </c>
      <c r="E5" s="13">
        <v>72.01347385</v>
      </c>
      <c r="F5" s="13">
        <v>100.0</v>
      </c>
      <c r="G5" s="13">
        <v>83.0410187406453</v>
      </c>
      <c r="H5" s="13">
        <f>D5*Parameters!$B$2+E5*Parameters!$B$3+F5*Parameters!$B$4+G5*Parameters!$B$5</f>
        <v>87.4140491</v>
      </c>
      <c r="I5" s="16">
        <v>41605.41387</v>
      </c>
    </row>
    <row r="6" ht="13.5" customHeight="1">
      <c r="A6" s="15">
        <f t="shared" si="1"/>
        <v>5</v>
      </c>
      <c r="B6" s="12" t="s">
        <v>396</v>
      </c>
      <c r="C6" s="12" t="s">
        <v>395</v>
      </c>
      <c r="D6" s="13">
        <v>92.299788557963</v>
      </c>
      <c r="E6" s="13">
        <v>85.91977663</v>
      </c>
      <c r="F6" s="13">
        <v>71.7140881184614</v>
      </c>
      <c r="G6" s="13">
        <v>96.2911017447963</v>
      </c>
      <c r="H6" s="13">
        <f>D6*Parameters!$B$2+E6*Parameters!$B$3+F6*Parameters!$B$4+G6*Parameters!$B$5</f>
        <v>86.55618876</v>
      </c>
      <c r="I6" s="16">
        <v>93018.37687</v>
      </c>
    </row>
    <row r="7" ht="13.5" customHeight="1">
      <c r="A7" s="15">
        <f t="shared" si="1"/>
        <v>6</v>
      </c>
      <c r="B7" s="12" t="s">
        <v>220</v>
      </c>
      <c r="C7" s="12" t="s">
        <v>219</v>
      </c>
      <c r="D7" s="13">
        <v>89.6476466020941</v>
      </c>
      <c r="E7" s="13">
        <v>73.63166212</v>
      </c>
      <c r="F7" s="13">
        <v>99.6231060642891</v>
      </c>
      <c r="G7" s="13">
        <v>83.1501556782303</v>
      </c>
      <c r="H7" s="13">
        <f>D7*Parameters!$B$2+E7*Parameters!$B$3+F7*Parameters!$B$4+G7*Parameters!$B$5</f>
        <v>86.51314262</v>
      </c>
      <c r="I7" s="16">
        <v>41882.04747</v>
      </c>
    </row>
    <row r="8" ht="13.5" customHeight="1">
      <c r="A8" s="15">
        <f t="shared" si="1"/>
        <v>7</v>
      </c>
      <c r="B8" s="12" t="s">
        <v>264</v>
      </c>
      <c r="C8" s="12" t="s">
        <v>263</v>
      </c>
      <c r="D8" s="13">
        <v>98.7141396828591</v>
      </c>
      <c r="E8" s="13">
        <v>84.1078986</v>
      </c>
      <c r="F8" s="13">
        <v>100.0</v>
      </c>
      <c r="G8" s="13">
        <v>62.4049670987164</v>
      </c>
      <c r="H8" s="13">
        <f>D8*Parameters!$B$2+E8*Parameters!$B$3+F8*Parameters!$B$4+G8*Parameters!$B$5</f>
        <v>86.30675135</v>
      </c>
      <c r="I8" s="16">
        <v>11883.79128</v>
      </c>
    </row>
    <row r="9" ht="13.5" customHeight="1">
      <c r="A9" s="15">
        <f t="shared" si="1"/>
        <v>8</v>
      </c>
      <c r="B9" s="12" t="s">
        <v>52</v>
      </c>
      <c r="C9" s="12" t="s">
        <v>51</v>
      </c>
      <c r="D9" s="13">
        <v>66.9946371539043</v>
      </c>
      <c r="E9" s="13">
        <v>86.30510293</v>
      </c>
      <c r="F9" s="13">
        <v>100.0</v>
      </c>
      <c r="G9" s="13">
        <v>89.4734110300039</v>
      </c>
      <c r="H9" s="13">
        <f>D9*Parameters!$B$2+E9*Parameters!$B$3+F9*Parameters!$B$4+G9*Parameters!$B$5</f>
        <v>85.69328778</v>
      </c>
      <c r="I9" s="16">
        <v>61486.38148</v>
      </c>
    </row>
    <row r="10" ht="13.5" customHeight="1">
      <c r="A10" s="15">
        <f t="shared" si="1"/>
        <v>9</v>
      </c>
      <c r="B10" s="12" t="s">
        <v>476</v>
      </c>
      <c r="C10" s="12" t="s">
        <v>341</v>
      </c>
      <c r="D10" s="13">
        <v>99.0117714751137</v>
      </c>
      <c r="E10" s="13">
        <v>80.1041044</v>
      </c>
      <c r="F10" s="13">
        <v>100.0</v>
      </c>
      <c r="G10" s="13">
        <v>61.2703777090976</v>
      </c>
      <c r="H10" s="13">
        <f>D10*Parameters!$B$2+E10*Parameters!$B$3+F10*Parameters!$B$4+G10*Parameters!$B$5</f>
        <v>85.0965634</v>
      </c>
      <c r="I10" s="16">
        <v>11092.63379</v>
      </c>
    </row>
    <row r="11" ht="13.5" customHeight="1">
      <c r="A11" s="15">
        <f t="shared" si="1"/>
        <v>10</v>
      </c>
      <c r="B11" s="12" t="s">
        <v>114</v>
      </c>
      <c r="C11" s="12" t="s">
        <v>113</v>
      </c>
      <c r="D11" s="13">
        <v>94.9724999710766</v>
      </c>
      <c r="E11" s="13">
        <v>89.0290017</v>
      </c>
      <c r="F11" s="13">
        <v>100.0</v>
      </c>
      <c r="G11" s="13">
        <v>53.3687522820257</v>
      </c>
      <c r="H11" s="13">
        <f>D11*Parameters!$B$2+E11*Parameters!$B$3+F11*Parameters!$B$4+G11*Parameters!$B$5</f>
        <v>84.34256349</v>
      </c>
      <c r="I11" s="16">
        <v>6865.312839</v>
      </c>
    </row>
    <row r="12" ht="13.5" customHeight="1">
      <c r="A12" s="15">
        <f t="shared" si="1"/>
        <v>11</v>
      </c>
      <c r="B12" s="12" t="s">
        <v>230</v>
      </c>
      <c r="C12" s="12" t="s">
        <v>229</v>
      </c>
      <c r="D12" s="13">
        <v>95.7820772091085</v>
      </c>
      <c r="E12" s="13">
        <v>78.92542013</v>
      </c>
      <c r="F12" s="13">
        <v>100.0</v>
      </c>
      <c r="G12" s="13">
        <v>62.3897064691983</v>
      </c>
      <c r="H12" s="13">
        <f>D12*Parameters!$B$2+E12*Parameters!$B$3+F12*Parameters!$B$4+G12*Parameters!$B$5</f>
        <v>84.27430095</v>
      </c>
      <c r="I12" s="16">
        <v>11872.78426</v>
      </c>
    </row>
    <row r="13" ht="13.5" customHeight="1">
      <c r="A13" s="15">
        <f t="shared" si="1"/>
        <v>12</v>
      </c>
      <c r="B13" s="12" t="s">
        <v>238</v>
      </c>
      <c r="C13" s="12" t="s">
        <v>237</v>
      </c>
      <c r="D13" s="13">
        <v>97.755660401603</v>
      </c>
      <c r="E13" s="13">
        <v>62.55818883</v>
      </c>
      <c r="F13" s="13">
        <v>100.0</v>
      </c>
      <c r="G13" s="13">
        <v>74.0763961592321</v>
      </c>
      <c r="H13" s="13">
        <f>D13*Parameters!$B$2+E13*Parameters!$B$3+F13*Parameters!$B$4+G13*Parameters!$B$5</f>
        <v>83.59756135</v>
      </c>
      <c r="I13" s="16">
        <v>24140.3258</v>
      </c>
    </row>
    <row r="14" ht="13.5" customHeight="1">
      <c r="A14" s="15">
        <f t="shared" si="1"/>
        <v>13</v>
      </c>
      <c r="B14" s="12" t="s">
        <v>360</v>
      </c>
      <c r="C14" s="12" t="s">
        <v>359</v>
      </c>
      <c r="D14" s="13">
        <v>99.294188713232</v>
      </c>
      <c r="E14" s="13">
        <v>59.34103686</v>
      </c>
      <c r="F14" s="13">
        <v>100.0</v>
      </c>
      <c r="G14" s="13">
        <v>74.7335018494706</v>
      </c>
      <c r="H14" s="13">
        <f>D14*Parameters!$B$2+E14*Parameters!$B$3+F14*Parameters!$B$4+G14*Parameters!$B$5</f>
        <v>83.34218186</v>
      </c>
      <c r="I14" s="16">
        <v>25123.01221</v>
      </c>
    </row>
    <row r="15" ht="13.5" customHeight="1">
      <c r="A15" s="15">
        <f t="shared" si="1"/>
        <v>14</v>
      </c>
      <c r="B15" s="12" t="s">
        <v>134</v>
      </c>
      <c r="C15" s="12" t="s">
        <v>133</v>
      </c>
      <c r="D15" s="13">
        <v>92.6538271749093</v>
      </c>
      <c r="E15" s="13">
        <v>94.10908408</v>
      </c>
      <c r="F15" s="13">
        <v>74.3325780135691</v>
      </c>
      <c r="G15" s="13">
        <v>71.3435290192886</v>
      </c>
      <c r="H15" s="13">
        <f>D15*Parameters!$B$2+E15*Parameters!$B$3+F15*Parameters!$B$4+G15*Parameters!$B$5</f>
        <v>83.10975457</v>
      </c>
      <c r="I15" s="16">
        <v>20449.11359</v>
      </c>
    </row>
    <row r="16" ht="13.5" customHeight="1">
      <c r="A16" s="15">
        <f t="shared" si="1"/>
        <v>15</v>
      </c>
      <c r="B16" s="12" t="s">
        <v>394</v>
      </c>
      <c r="C16" s="12" t="s">
        <v>393</v>
      </c>
      <c r="D16" s="13">
        <v>74.0735603578734</v>
      </c>
      <c r="E16" s="13">
        <v>87.33050869</v>
      </c>
      <c r="F16" s="13">
        <v>81.9957695278505</v>
      </c>
      <c r="G16" s="13">
        <v>87.4314364536735</v>
      </c>
      <c r="H16" s="13">
        <f>D16*Parameters!$B$2+E16*Parameters!$B$3+F16*Parameters!$B$4+G16*Parameters!$B$5</f>
        <v>82.70781876</v>
      </c>
      <c r="I16" s="16">
        <v>54316.26193</v>
      </c>
    </row>
    <row r="17" ht="13.5" customHeight="1">
      <c r="A17" s="15">
        <f t="shared" si="1"/>
        <v>16</v>
      </c>
      <c r="B17" s="12" t="s">
        <v>208</v>
      </c>
      <c r="C17" s="12" t="s">
        <v>207</v>
      </c>
      <c r="D17" s="13">
        <v>99.9032538854057</v>
      </c>
      <c r="E17" s="13">
        <v>63.45634886</v>
      </c>
      <c r="F17" s="13">
        <v>77.9560517815213</v>
      </c>
      <c r="G17" s="13">
        <v>88.8085607386257</v>
      </c>
      <c r="H17" s="13">
        <f>D17*Parameters!$B$2+E17*Parameters!$B$3+F17*Parameters!$B$4+G17*Parameters!$B$5</f>
        <v>82.53105382</v>
      </c>
      <c r="I17" s="16">
        <v>59053.56484</v>
      </c>
    </row>
    <row r="18" ht="13.5" customHeight="1">
      <c r="A18" s="15">
        <f t="shared" si="1"/>
        <v>17</v>
      </c>
      <c r="B18" s="12" t="s">
        <v>338</v>
      </c>
      <c r="C18" s="12" t="s">
        <v>337</v>
      </c>
      <c r="D18" s="13">
        <v>96.2129189571915</v>
      </c>
      <c r="E18" s="13">
        <v>42.2072517</v>
      </c>
      <c r="F18" s="13">
        <v>100.0</v>
      </c>
      <c r="G18" s="13">
        <v>89.7150781290715</v>
      </c>
      <c r="H18" s="13">
        <f>D18*Parameters!$B$2+E18*Parameters!$B$3+F18*Parameters!$B$4+G18*Parameters!$B$5</f>
        <v>82.0338122</v>
      </c>
      <c r="I18" s="16">
        <v>62395.31133</v>
      </c>
    </row>
    <row r="19" ht="13.5" customHeight="1">
      <c r="A19" s="15">
        <f t="shared" si="1"/>
        <v>18</v>
      </c>
      <c r="B19" s="12" t="s">
        <v>460</v>
      </c>
      <c r="C19" s="12" t="s">
        <v>85</v>
      </c>
      <c r="D19" s="13">
        <v>99.8972596589265</v>
      </c>
      <c r="E19" s="13">
        <v>50.8178892</v>
      </c>
      <c r="F19" s="13">
        <v>100.0</v>
      </c>
      <c r="G19" s="13">
        <v>77.4140734115707</v>
      </c>
      <c r="H19" s="13">
        <f>D19*Parameters!$B$2+E19*Parameters!$B$3+F19*Parameters!$B$4+G19*Parameters!$B$5</f>
        <v>82.03230557</v>
      </c>
      <c r="I19" s="16">
        <v>29563.86828</v>
      </c>
    </row>
    <row r="20" ht="13.5" customHeight="1">
      <c r="A20" s="15">
        <f t="shared" si="1"/>
        <v>19</v>
      </c>
      <c r="B20" s="12" t="s">
        <v>300</v>
      </c>
      <c r="C20" s="12" t="s">
        <v>299</v>
      </c>
      <c r="D20" s="13">
        <v>89.3786933300841</v>
      </c>
      <c r="E20" s="13">
        <v>80.1906262</v>
      </c>
      <c r="F20" s="13">
        <v>74.5433310852798</v>
      </c>
      <c r="G20" s="13">
        <v>82.9656602961492</v>
      </c>
      <c r="H20" s="13">
        <f>D20*Parameters!$B$2+E20*Parameters!$B$3+F20*Parameters!$B$4+G20*Parameters!$B$5</f>
        <v>81.76957773</v>
      </c>
      <c r="I20" s="16">
        <v>41415.46706</v>
      </c>
    </row>
    <row r="21" ht="13.5" customHeight="1">
      <c r="A21" s="15">
        <f t="shared" si="1"/>
        <v>20</v>
      </c>
      <c r="B21" s="12" t="s">
        <v>374</v>
      </c>
      <c r="C21" s="12" t="s">
        <v>373</v>
      </c>
      <c r="D21" s="13">
        <v>89.0683431649471</v>
      </c>
      <c r="E21" s="13">
        <v>91.28769567</v>
      </c>
      <c r="F21" s="13">
        <v>71.0601978319314</v>
      </c>
      <c r="G21" s="13">
        <v>75.3836308681316</v>
      </c>
      <c r="H21" s="13">
        <f>D21*Parameters!$B$2+E21*Parameters!$B$3+F21*Parameters!$B$4+G21*Parameters!$B$5</f>
        <v>81.69996688</v>
      </c>
      <c r="I21" s="16">
        <v>26134.6272</v>
      </c>
    </row>
    <row r="22" ht="13.5" customHeight="1">
      <c r="A22" s="15">
        <f t="shared" si="1"/>
        <v>21</v>
      </c>
      <c r="B22" s="12" t="s">
        <v>372</v>
      </c>
      <c r="C22" s="12" t="s">
        <v>371</v>
      </c>
      <c r="D22" s="13">
        <v>97.5531845870338</v>
      </c>
      <c r="E22" s="13">
        <v>92.73486975</v>
      </c>
      <c r="F22" s="13">
        <v>64.721257260178</v>
      </c>
      <c r="G22" s="13">
        <v>70.7924641133933</v>
      </c>
      <c r="H22" s="13">
        <f>D22*Parameters!$B$2+E22*Parameters!$B$3+F22*Parameters!$B$4+G22*Parameters!$B$5</f>
        <v>81.45044393</v>
      </c>
      <c r="I22" s="16">
        <v>19776.17581</v>
      </c>
    </row>
    <row r="23" ht="13.5" customHeight="1">
      <c r="A23" s="15">
        <f t="shared" si="1"/>
        <v>22</v>
      </c>
      <c r="B23" s="12" t="s">
        <v>46</v>
      </c>
      <c r="C23" s="12" t="s">
        <v>45</v>
      </c>
      <c r="D23" s="13">
        <v>86.492031546978</v>
      </c>
      <c r="E23" s="13">
        <v>74.30902191</v>
      </c>
      <c r="F23" s="13">
        <v>100.0</v>
      </c>
      <c r="G23" s="13">
        <v>63.5950520685883</v>
      </c>
      <c r="H23" s="13">
        <f>D23*Parameters!$B$2+E23*Parameters!$B$3+F23*Parameters!$B$4+G23*Parameters!$B$5</f>
        <v>81.09902638</v>
      </c>
      <c r="I23" s="16">
        <v>12774.35066</v>
      </c>
    </row>
    <row r="24" ht="13.5" customHeight="1">
      <c r="A24" s="15">
        <f t="shared" si="1"/>
        <v>23</v>
      </c>
      <c r="B24" s="12" t="s">
        <v>172</v>
      </c>
      <c r="C24" s="12" t="s">
        <v>171</v>
      </c>
      <c r="D24" s="13">
        <v>99.9562314700862</v>
      </c>
      <c r="E24" s="13">
        <v>71.39379215</v>
      </c>
      <c r="F24" s="13">
        <v>100.0</v>
      </c>
      <c r="G24" s="13">
        <v>52.7670015333026</v>
      </c>
      <c r="H24" s="13">
        <f>D24*Parameters!$B$2+E24*Parameters!$B$3+F24*Parameters!$B$4+G24*Parameters!$B$5</f>
        <v>81.02925629</v>
      </c>
      <c r="I24" s="16">
        <v>6618.986859</v>
      </c>
    </row>
    <row r="25" ht="13.5" customHeight="1">
      <c r="A25" s="15">
        <f t="shared" si="1"/>
        <v>24</v>
      </c>
      <c r="B25" s="12" t="s">
        <v>168</v>
      </c>
      <c r="C25" s="12" t="s">
        <v>167</v>
      </c>
      <c r="D25" s="13">
        <v>86.9432290152479</v>
      </c>
      <c r="E25" s="13">
        <v>81.92295105</v>
      </c>
      <c r="F25" s="13">
        <v>72.6390892006448</v>
      </c>
      <c r="G25" s="13">
        <v>82.2620962247445</v>
      </c>
      <c r="H25" s="13">
        <f>D25*Parameters!$B$2+E25*Parameters!$B$3+F25*Parameters!$B$4+G25*Parameters!$B$5</f>
        <v>80.94184137</v>
      </c>
      <c r="I25" s="16">
        <v>39683.39535</v>
      </c>
    </row>
    <row r="26" ht="13.5" customHeight="1">
      <c r="A26" s="15">
        <f t="shared" si="1"/>
        <v>25</v>
      </c>
      <c r="B26" s="12" t="s">
        <v>166</v>
      </c>
      <c r="C26" s="12" t="s">
        <v>165</v>
      </c>
      <c r="D26" s="13">
        <v>73.3444450840646</v>
      </c>
      <c r="E26" s="13">
        <v>90.18251381</v>
      </c>
      <c r="F26" s="13">
        <v>75.3101880007525</v>
      </c>
      <c r="G26" s="13">
        <v>84.3601729456039</v>
      </c>
      <c r="H26" s="13">
        <f>D26*Parameters!$B$2+E26*Parameters!$B$3+F26*Parameters!$B$4+G26*Parameters!$B$5</f>
        <v>80.79932996</v>
      </c>
      <c r="I26" s="16">
        <v>45075.16849</v>
      </c>
    </row>
    <row r="27" ht="13.5" customHeight="1">
      <c r="A27" s="15">
        <f t="shared" si="1"/>
        <v>26</v>
      </c>
      <c r="B27" s="12" t="s">
        <v>212</v>
      </c>
      <c r="C27" s="12" t="s">
        <v>211</v>
      </c>
      <c r="D27" s="13">
        <v>99.5509582527865</v>
      </c>
      <c r="E27" s="13">
        <v>77.00015093</v>
      </c>
      <c r="F27" s="13">
        <v>100.0</v>
      </c>
      <c r="G27" s="13">
        <v>45.9218452894136</v>
      </c>
      <c r="H27" s="13">
        <f>D27*Parameters!$B$2+E27*Parameters!$B$3+F27*Parameters!$B$4+G27*Parameters!$B$5</f>
        <v>80.61823862</v>
      </c>
      <c r="I27" s="16">
        <v>4367.947418</v>
      </c>
    </row>
    <row r="28" ht="13.5" customHeight="1">
      <c r="A28" s="15">
        <f t="shared" si="1"/>
        <v>27</v>
      </c>
      <c r="B28" s="12" t="s">
        <v>474</v>
      </c>
      <c r="C28" s="12" t="s">
        <v>381</v>
      </c>
      <c r="D28" s="13">
        <v>93.5188107188906</v>
      </c>
      <c r="E28" s="13">
        <v>89.98480162</v>
      </c>
      <c r="F28" s="13">
        <v>55.9854506837962</v>
      </c>
      <c r="G28" s="13">
        <v>81.1305891017992</v>
      </c>
      <c r="H28" s="13">
        <f>D28*Parameters!$B$2+E28*Parameters!$B$3+F28*Parameters!$B$4+G28*Parameters!$B$5</f>
        <v>80.15491303</v>
      </c>
      <c r="I28" s="16">
        <v>37048.4264</v>
      </c>
    </row>
    <row r="29" ht="13.5" customHeight="1">
      <c r="A29" s="15">
        <f t="shared" si="1"/>
        <v>28</v>
      </c>
      <c r="B29" s="12" t="s">
        <v>328</v>
      </c>
      <c r="C29" s="12" t="s">
        <v>327</v>
      </c>
      <c r="D29" s="13">
        <v>94.8628753906026</v>
      </c>
      <c r="E29" s="13">
        <v>76.09459255</v>
      </c>
      <c r="F29" s="13">
        <v>96.0580530222885</v>
      </c>
      <c r="G29" s="13">
        <v>53.0464935889185</v>
      </c>
      <c r="H29" s="13">
        <f>D29*Parameters!$B$2+E29*Parameters!$B$3+F29*Parameters!$B$4+G29*Parameters!$B$5</f>
        <v>80.01550364</v>
      </c>
      <c r="I29" s="16">
        <v>6732.277738</v>
      </c>
    </row>
    <row r="30" ht="13.5" customHeight="1">
      <c r="A30" s="15">
        <f t="shared" si="1"/>
        <v>29</v>
      </c>
      <c r="B30" s="12" t="s">
        <v>316</v>
      </c>
      <c r="C30" s="12" t="s">
        <v>315</v>
      </c>
      <c r="D30" s="13">
        <v>95.5802556285862</v>
      </c>
      <c r="E30" s="13">
        <v>53.91305168</v>
      </c>
      <c r="F30" s="13">
        <v>100.0</v>
      </c>
      <c r="G30" s="13">
        <v>68.6343931648562</v>
      </c>
      <c r="H30" s="13">
        <f>D30*Parameters!$B$2+E30*Parameters!$B$3+F30*Parameters!$B$4+G30*Parameters!$B$5</f>
        <v>79.53192512</v>
      </c>
      <c r="I30" s="16">
        <v>17347.29113</v>
      </c>
    </row>
    <row r="31" ht="13.5" customHeight="1">
      <c r="A31" s="15">
        <f t="shared" si="1"/>
        <v>30</v>
      </c>
      <c r="B31" s="12" t="s">
        <v>252</v>
      </c>
      <c r="C31" s="12" t="s">
        <v>251</v>
      </c>
      <c r="D31" s="13">
        <v>99.967032368796</v>
      </c>
      <c r="E31" s="13">
        <v>62.28487996</v>
      </c>
      <c r="F31" s="13">
        <v>100.0</v>
      </c>
      <c r="G31" s="13">
        <v>55.2499531355414</v>
      </c>
      <c r="H31" s="13">
        <f>D31*Parameters!$B$2+E31*Parameters!$B$3+F31*Parameters!$B$4+G31*Parameters!$B$5</f>
        <v>79.37546637</v>
      </c>
      <c r="I31" s="16">
        <v>7696.080782</v>
      </c>
    </row>
    <row r="32" ht="13.5" customHeight="1">
      <c r="A32" s="15">
        <f t="shared" si="1"/>
        <v>31</v>
      </c>
      <c r="B32" s="12" t="s">
        <v>226</v>
      </c>
      <c r="C32" s="12" t="s">
        <v>225</v>
      </c>
      <c r="D32" s="13">
        <v>88.0609109954536</v>
      </c>
      <c r="E32" s="13">
        <v>89.4609575</v>
      </c>
      <c r="F32" s="13">
        <v>55.2414924086653</v>
      </c>
      <c r="G32" s="13">
        <v>81.5381090726246</v>
      </c>
      <c r="H32" s="13">
        <f>D32*Parameters!$B$2+E32*Parameters!$B$3+F32*Parameters!$B$4+G32*Parameters!$B$5</f>
        <v>78.57536749</v>
      </c>
      <c r="I32" s="16">
        <v>37976.63718</v>
      </c>
    </row>
    <row r="33" ht="13.5" customHeight="1">
      <c r="A33" s="15">
        <f t="shared" si="1"/>
        <v>32</v>
      </c>
      <c r="B33" s="12" t="s">
        <v>326</v>
      </c>
      <c r="C33" s="12" t="s">
        <v>325</v>
      </c>
      <c r="D33" s="13">
        <v>99.9978578678408</v>
      </c>
      <c r="E33" s="13">
        <v>61.31839066</v>
      </c>
      <c r="F33" s="13">
        <v>100.0</v>
      </c>
      <c r="G33" s="13">
        <v>52.8951670613585</v>
      </c>
      <c r="H33" s="13">
        <f>D33*Parameters!$B$2+E33*Parameters!$B$3+F33*Parameters!$B$4+G33*Parameters!$B$5</f>
        <v>78.5528539</v>
      </c>
      <c r="I33" s="16">
        <v>6670.699566</v>
      </c>
    </row>
    <row r="34" ht="13.5" customHeight="1">
      <c r="A34" s="15">
        <f t="shared" si="1"/>
        <v>33</v>
      </c>
      <c r="B34" s="12" t="s">
        <v>340</v>
      </c>
      <c r="C34" s="12" t="s">
        <v>339</v>
      </c>
      <c r="D34" s="13">
        <v>77.9034813220547</v>
      </c>
      <c r="E34" s="13">
        <v>89.38355743</v>
      </c>
      <c r="F34" s="13">
        <v>82.3023305812618</v>
      </c>
      <c r="G34" s="13">
        <v>63.1846066595015</v>
      </c>
      <c r="H34" s="13">
        <f>D34*Parameters!$B$2+E34*Parameters!$B$3+F34*Parameters!$B$4+G34*Parameters!$B$5</f>
        <v>78.193494</v>
      </c>
      <c r="I34" s="16">
        <v>12459.91121</v>
      </c>
    </row>
    <row r="35" ht="13.5" customHeight="1">
      <c r="A35" s="15">
        <f t="shared" si="1"/>
        <v>34</v>
      </c>
      <c r="B35" s="12" t="s">
        <v>364</v>
      </c>
      <c r="C35" s="12" t="s">
        <v>363</v>
      </c>
      <c r="D35" s="13">
        <v>96.0172966284498</v>
      </c>
      <c r="E35" s="13">
        <v>86.10691003</v>
      </c>
      <c r="F35" s="13">
        <v>71.4824988455505</v>
      </c>
      <c r="G35" s="13">
        <v>57.0409641962084</v>
      </c>
      <c r="H35" s="13">
        <f>D35*Parameters!$B$2+E35*Parameters!$B$3+F35*Parameters!$B$4+G35*Parameters!$B$5</f>
        <v>77.66191743</v>
      </c>
      <c r="I35" s="16">
        <v>8580.261058</v>
      </c>
    </row>
    <row r="36" ht="13.5" customHeight="1">
      <c r="A36" s="15">
        <f t="shared" si="1"/>
        <v>35</v>
      </c>
      <c r="B36" s="12" t="s">
        <v>58</v>
      </c>
      <c r="C36" s="12" t="s">
        <v>57</v>
      </c>
      <c r="D36" s="13">
        <v>99.7163787555025</v>
      </c>
      <c r="E36" s="13">
        <v>35.26765216</v>
      </c>
      <c r="F36" s="13">
        <v>100.0</v>
      </c>
      <c r="G36" s="13">
        <v>75.2263620511827</v>
      </c>
      <c r="H36" s="13">
        <f>D36*Parameters!$B$2+E36*Parameters!$B$3+F36*Parameters!$B$4+G36*Parameters!$B$5</f>
        <v>77.55259824</v>
      </c>
      <c r="I36" s="16">
        <v>25886.23932</v>
      </c>
    </row>
    <row r="37" ht="13.5" customHeight="1">
      <c r="A37" s="15">
        <f t="shared" si="1"/>
        <v>36</v>
      </c>
      <c r="B37" s="12" t="s">
        <v>88</v>
      </c>
      <c r="C37" s="12" t="s">
        <v>87</v>
      </c>
      <c r="D37" s="13">
        <v>82.4032509903095</v>
      </c>
      <c r="E37" s="13">
        <v>94.79265398</v>
      </c>
      <c r="F37" s="13">
        <v>72.9909638329033</v>
      </c>
      <c r="G37" s="13">
        <v>59.7711570644028</v>
      </c>
      <c r="H37" s="13">
        <f>D37*Parameters!$B$2+E37*Parameters!$B$3+F37*Parameters!$B$4+G37*Parameters!$B$5</f>
        <v>77.48950647</v>
      </c>
      <c r="I37" s="16">
        <v>10127.41526</v>
      </c>
    </row>
    <row r="38" ht="13.5" customHeight="1">
      <c r="A38" s="15">
        <f t="shared" si="1"/>
        <v>37</v>
      </c>
      <c r="B38" s="12" t="s">
        <v>54</v>
      </c>
      <c r="C38" s="12" t="s">
        <v>53</v>
      </c>
      <c r="D38" s="13">
        <v>82.3645817764699</v>
      </c>
      <c r="E38" s="13">
        <v>82.96914701</v>
      </c>
      <c r="F38" s="13">
        <v>59.8993260482428</v>
      </c>
      <c r="G38" s="13">
        <v>84.6799004757374</v>
      </c>
      <c r="H38" s="13">
        <f>D38*Parameters!$B$2+E38*Parameters!$B$3+F38*Parameters!$B$4+G38*Parameters!$B$5</f>
        <v>77.47823883</v>
      </c>
      <c r="I38" s="16">
        <v>45958.82501</v>
      </c>
    </row>
    <row r="39" ht="13.5" customHeight="1">
      <c r="A39" s="15">
        <f t="shared" si="1"/>
        <v>38</v>
      </c>
      <c r="B39" s="12" t="s">
        <v>56</v>
      </c>
      <c r="C39" s="12" t="s">
        <v>55</v>
      </c>
      <c r="D39" s="13">
        <v>99.3998089119435</v>
      </c>
      <c r="E39" s="13">
        <v>58.37983323</v>
      </c>
      <c r="F39" s="13">
        <v>100.0</v>
      </c>
      <c r="G39" s="13">
        <v>50.8062434173233</v>
      </c>
      <c r="H39" s="13">
        <f>D39*Parameters!$B$2+E39*Parameters!$B$3+F39*Parameters!$B$4+G39*Parameters!$B$5</f>
        <v>77.14647139</v>
      </c>
      <c r="I39" s="16">
        <v>5876.032955</v>
      </c>
    </row>
    <row r="40" ht="13.5" customHeight="1">
      <c r="A40" s="15">
        <f t="shared" si="1"/>
        <v>39</v>
      </c>
      <c r="B40" s="12" t="s">
        <v>430</v>
      </c>
      <c r="C40" s="12" t="s">
        <v>429</v>
      </c>
      <c r="D40" s="13">
        <v>94.1014044863972</v>
      </c>
      <c r="E40" s="13">
        <v>94.34657332</v>
      </c>
      <c r="F40" s="13">
        <v>84.6649944502021</v>
      </c>
      <c r="G40" s="13">
        <v>34.821011363495</v>
      </c>
      <c r="H40" s="13">
        <f>D40*Parameters!$B$2+E40*Parameters!$B$3+F40*Parameters!$B$4+G40*Parameters!$B$5</f>
        <v>76.98349591</v>
      </c>
      <c r="I40" s="16">
        <v>2226.058105</v>
      </c>
    </row>
    <row r="41" ht="13.5" customHeight="1">
      <c r="A41" s="15">
        <f t="shared" si="1"/>
        <v>40</v>
      </c>
      <c r="B41" s="12" t="s">
        <v>82</v>
      </c>
      <c r="C41" s="12" t="s">
        <v>81</v>
      </c>
      <c r="D41" s="13">
        <v>76.3544474896173</v>
      </c>
      <c r="E41" s="13">
        <v>72.18048888</v>
      </c>
      <c r="F41" s="13">
        <v>100.0</v>
      </c>
      <c r="G41" s="13">
        <v>58.8332198368804</v>
      </c>
      <c r="H41" s="13">
        <f>D41*Parameters!$B$2+E41*Parameters!$B$3+F41*Parameters!$B$4+G41*Parameters!$B$5</f>
        <v>76.84203905</v>
      </c>
      <c r="I41" s="16">
        <v>9566.745187</v>
      </c>
    </row>
    <row r="42" ht="13.5" customHeight="1">
      <c r="A42" s="15">
        <f t="shared" si="1"/>
        <v>41</v>
      </c>
      <c r="B42" s="12" t="s">
        <v>434</v>
      </c>
      <c r="C42" s="12" t="s">
        <v>433</v>
      </c>
      <c r="D42" s="13">
        <v>63.556654676086</v>
      </c>
      <c r="E42" s="13">
        <v>81.03082153</v>
      </c>
      <c r="F42" s="13">
        <v>75.4706353740387</v>
      </c>
      <c r="G42" s="13">
        <v>85.3615326879905</v>
      </c>
      <c r="H42" s="13">
        <f>D42*Parameters!$B$2+E42*Parameters!$B$3+F42*Parameters!$B$4+G42*Parameters!$B$5</f>
        <v>76.35491107</v>
      </c>
      <c r="I42" s="16">
        <v>47900.96801</v>
      </c>
    </row>
    <row r="43" ht="13.5" customHeight="1">
      <c r="A43" s="15">
        <f t="shared" si="1"/>
        <v>42</v>
      </c>
      <c r="B43" s="12" t="s">
        <v>36</v>
      </c>
      <c r="C43" s="12" t="s">
        <v>35</v>
      </c>
      <c r="D43" s="13">
        <v>95.9316529144539</v>
      </c>
      <c r="E43" s="13">
        <v>70.49559377</v>
      </c>
      <c r="F43" s="13">
        <v>85.7615537822748</v>
      </c>
      <c r="G43" s="13">
        <v>52.5925293232642</v>
      </c>
      <c r="H43" s="13">
        <f>D43*Parameters!$B$2+E43*Parameters!$B$3+F43*Parameters!$B$4+G43*Parameters!$B$5</f>
        <v>76.19533245</v>
      </c>
      <c r="I43" s="16">
        <v>6549.233874</v>
      </c>
    </row>
    <row r="44" ht="13.5" customHeight="1">
      <c r="A44" s="15">
        <f t="shared" si="1"/>
        <v>43</v>
      </c>
      <c r="B44" s="12" t="s">
        <v>276</v>
      </c>
      <c r="C44" s="12" t="s">
        <v>275</v>
      </c>
      <c r="D44" s="13">
        <v>88.7019123126802</v>
      </c>
      <c r="E44" s="13">
        <v>73.343779</v>
      </c>
      <c r="F44" s="13">
        <v>81.8775389147102</v>
      </c>
      <c r="G44" s="13">
        <v>60.0238912879072</v>
      </c>
      <c r="H44" s="13">
        <f>D44*Parameters!$B$2+E44*Parameters!$B$3+F44*Parameters!$B$4+G44*Parameters!$B$5</f>
        <v>75.98678038</v>
      </c>
      <c r="I44" s="16">
        <v>10284.03369</v>
      </c>
    </row>
    <row r="45" ht="13.5" customHeight="1">
      <c r="A45" s="15">
        <f t="shared" si="1"/>
        <v>44</v>
      </c>
      <c r="B45" s="12" t="s">
        <v>112</v>
      </c>
      <c r="C45" s="12" t="s">
        <v>111</v>
      </c>
      <c r="D45" s="13">
        <v>81.9309531669555</v>
      </c>
      <c r="E45" s="13">
        <v>71.06122168</v>
      </c>
      <c r="F45" s="13">
        <v>86.7935685014475</v>
      </c>
      <c r="G45" s="13">
        <v>64.0336182485146</v>
      </c>
      <c r="H45" s="13">
        <f>D45*Parameters!$B$2+E45*Parameters!$B$3+F45*Parameters!$B$4+G45*Parameters!$B$5</f>
        <v>75.9548404</v>
      </c>
      <c r="I45" s="16">
        <v>13119.10761</v>
      </c>
    </row>
    <row r="46" ht="13.5" customHeight="1">
      <c r="A46" s="15">
        <f t="shared" si="1"/>
        <v>45</v>
      </c>
      <c r="B46" s="12" t="s">
        <v>280</v>
      </c>
      <c r="C46" s="12" t="s">
        <v>279</v>
      </c>
      <c r="D46" s="13">
        <v>91.8064930150922</v>
      </c>
      <c r="E46" s="13">
        <v>65.08357132</v>
      </c>
      <c r="F46" s="13">
        <v>100.0</v>
      </c>
      <c r="G46" s="13">
        <v>46.8699659261845</v>
      </c>
      <c r="H46" s="13">
        <f>D46*Parameters!$B$2+E46*Parameters!$B$3+F46*Parameters!$B$4+G46*Parameters!$B$5</f>
        <v>75.94000757</v>
      </c>
      <c r="I46" s="16">
        <v>4626.796096</v>
      </c>
    </row>
    <row r="47" ht="13.5" customHeight="1">
      <c r="A47" s="15">
        <f t="shared" si="1"/>
        <v>46</v>
      </c>
      <c r="B47" s="12" t="s">
        <v>214</v>
      </c>
      <c r="C47" s="12" t="s">
        <v>213</v>
      </c>
      <c r="D47" s="13">
        <v>99.5455034704632</v>
      </c>
      <c r="E47" s="13">
        <v>53.06445938</v>
      </c>
      <c r="F47" s="13">
        <v>100.0</v>
      </c>
      <c r="G47" s="13">
        <v>50.6892658581469</v>
      </c>
      <c r="H47" s="13">
        <f>D47*Parameters!$B$2+E47*Parameters!$B$3+F47*Parameters!$B$4+G47*Parameters!$B$5</f>
        <v>75.82480718</v>
      </c>
      <c r="I47" s="16">
        <v>5834.442969</v>
      </c>
    </row>
    <row r="48" ht="13.5" customHeight="1">
      <c r="A48" s="15">
        <f t="shared" si="1"/>
        <v>47</v>
      </c>
      <c r="B48" s="12" t="s">
        <v>282</v>
      </c>
      <c r="C48" s="12" t="s">
        <v>281</v>
      </c>
      <c r="D48" s="13">
        <v>90.5685215496029</v>
      </c>
      <c r="E48" s="13">
        <v>77.99619587</v>
      </c>
      <c r="F48" s="13">
        <v>76.6731004276405</v>
      </c>
      <c r="G48" s="13">
        <v>56.9635151909628</v>
      </c>
      <c r="H48" s="13">
        <f>D48*Parameters!$B$2+E48*Parameters!$B$3+F48*Parameters!$B$4+G48*Parameters!$B$5</f>
        <v>75.55033326</v>
      </c>
      <c r="I48" s="16">
        <v>8540.004278</v>
      </c>
    </row>
    <row r="49" ht="13.5" customHeight="1">
      <c r="A49" s="15">
        <f t="shared" si="1"/>
        <v>48</v>
      </c>
      <c r="B49" s="12" t="s">
        <v>180</v>
      </c>
      <c r="C49" s="12" t="s">
        <v>179</v>
      </c>
      <c r="D49" s="13">
        <v>99.2951073337294</v>
      </c>
      <c r="E49" s="13">
        <v>68.41443652</v>
      </c>
      <c r="F49" s="13">
        <v>100.0</v>
      </c>
      <c r="G49" s="13">
        <v>34.4237537092661</v>
      </c>
      <c r="H49" s="13">
        <f>D49*Parameters!$B$2+E49*Parameters!$B$3+F49*Parameters!$B$4+G49*Parameters!$B$5</f>
        <v>75.53332439</v>
      </c>
      <c r="I49" s="16">
        <v>2173.003298</v>
      </c>
    </row>
    <row r="50" ht="13.5" customHeight="1">
      <c r="A50" s="15">
        <f t="shared" si="1"/>
        <v>49</v>
      </c>
      <c r="B50" s="12" t="s">
        <v>76</v>
      </c>
      <c r="C50" s="12" t="s">
        <v>75</v>
      </c>
      <c r="D50" s="13">
        <v>93.5130203107963</v>
      </c>
      <c r="E50" s="13">
        <v>67.47594857</v>
      </c>
      <c r="F50" s="13">
        <v>100.0</v>
      </c>
      <c r="G50" s="13">
        <v>39.9834282103485</v>
      </c>
      <c r="H50" s="13">
        <f>D50*Parameters!$B$2+E50*Parameters!$B$3+F50*Parameters!$B$4+G50*Parameters!$B$5</f>
        <v>75.24309927</v>
      </c>
      <c r="I50" s="16">
        <v>3045.614766</v>
      </c>
    </row>
    <row r="51" ht="13.5" customHeight="1">
      <c r="A51" s="15">
        <f t="shared" si="1"/>
        <v>50</v>
      </c>
      <c r="B51" s="12" t="s">
        <v>306</v>
      </c>
      <c r="C51" s="12" t="s">
        <v>305</v>
      </c>
      <c r="D51" s="13">
        <v>99.6628847712982</v>
      </c>
      <c r="E51" s="13">
        <v>65.32229249</v>
      </c>
      <c r="F51" s="13">
        <v>100.0</v>
      </c>
      <c r="G51" s="13">
        <v>35.5343377062188</v>
      </c>
      <c r="H51" s="13">
        <f>D51*Parameters!$B$2+E51*Parameters!$B$3+F51*Parameters!$B$4+G51*Parameters!$B$5</f>
        <v>75.12987874</v>
      </c>
      <c r="I51" s="16">
        <v>2324.597024</v>
      </c>
    </row>
    <row r="52" ht="13.5" customHeight="1">
      <c r="A52" s="15">
        <f t="shared" si="1"/>
        <v>51</v>
      </c>
      <c r="B52" s="12" t="s">
        <v>38</v>
      </c>
      <c r="C52" s="12" t="s">
        <v>37</v>
      </c>
      <c r="D52" s="13">
        <v>98.943858998437</v>
      </c>
      <c r="E52" s="13">
        <v>53.45418502</v>
      </c>
      <c r="F52" s="13">
        <v>100.0</v>
      </c>
      <c r="G52" s="13">
        <v>47.3572036813205</v>
      </c>
      <c r="H52" s="13">
        <f>D52*Parameters!$B$2+E52*Parameters!$B$3+F52*Parameters!$B$4+G52*Parameters!$B$5</f>
        <v>74.93881192</v>
      </c>
      <c r="I52" s="16">
        <v>4765.729002</v>
      </c>
    </row>
    <row r="53" ht="13.5" customHeight="1">
      <c r="A53" s="15">
        <f t="shared" si="1"/>
        <v>52</v>
      </c>
      <c r="B53" s="12" t="s">
        <v>444</v>
      </c>
      <c r="C53" s="12" t="s">
        <v>443</v>
      </c>
      <c r="D53" s="13">
        <v>99.9630921762173</v>
      </c>
      <c r="E53" s="13">
        <v>71.29980584</v>
      </c>
      <c r="F53" s="13">
        <v>100.0</v>
      </c>
      <c r="G53" s="13">
        <v>28.3331619324055</v>
      </c>
      <c r="H53" s="13">
        <f>D53*Parameters!$B$2+E53*Parameters!$B$3+F53*Parameters!$B$4+G53*Parameters!$B$5</f>
        <v>74.89901499</v>
      </c>
      <c r="I53" s="16">
        <v>1501.222079</v>
      </c>
    </row>
    <row r="54" ht="13.5" customHeight="1">
      <c r="A54" s="15">
        <f t="shared" si="1"/>
        <v>53</v>
      </c>
      <c r="B54" s="12" t="s">
        <v>473</v>
      </c>
      <c r="C54" s="12" t="s">
        <v>91</v>
      </c>
      <c r="D54" s="13">
        <v>99.440645819981</v>
      </c>
      <c r="E54" s="13">
        <v>75.38436892</v>
      </c>
      <c r="F54" s="13">
        <v>100.0</v>
      </c>
      <c r="G54" s="13">
        <v>24.0649749409928</v>
      </c>
      <c r="H54" s="13">
        <f>D54*Parameters!$B$2+E54*Parameters!$B$3+F54*Parameters!$B$4+G54*Parameters!$B$5</f>
        <v>74.72249742</v>
      </c>
      <c r="I54" s="16">
        <v>1158.479281</v>
      </c>
    </row>
    <row r="55" ht="13.5" customHeight="1">
      <c r="A55" s="15">
        <f t="shared" si="1"/>
        <v>54</v>
      </c>
      <c r="B55" s="12" t="s">
        <v>80</v>
      </c>
      <c r="C55" s="12" t="s">
        <v>79</v>
      </c>
      <c r="D55" s="13">
        <v>99.8002648905913</v>
      </c>
      <c r="E55" s="13">
        <v>67.35262165</v>
      </c>
      <c r="F55" s="13">
        <v>78.1536856308319</v>
      </c>
      <c r="G55" s="13">
        <v>53.576220217415</v>
      </c>
      <c r="H55" s="13">
        <f>D55*Parameters!$B$2+E55*Parameters!$B$3+F55*Parameters!$B$4+G55*Parameters!$B$5</f>
        <v>74.7206981</v>
      </c>
      <c r="I55" s="16">
        <v>6952.347704</v>
      </c>
    </row>
    <row r="56" ht="13.5" customHeight="1">
      <c r="A56" s="15">
        <f t="shared" si="1"/>
        <v>55</v>
      </c>
      <c r="B56" s="12" t="s">
        <v>332</v>
      </c>
      <c r="C56" s="12" t="s">
        <v>331</v>
      </c>
      <c r="D56" s="13">
        <v>76.0274080563405</v>
      </c>
      <c r="E56" s="13">
        <v>81.72614933</v>
      </c>
      <c r="F56" s="13">
        <v>71.2311800466518</v>
      </c>
      <c r="G56" s="13">
        <v>69.2431277764139</v>
      </c>
      <c r="H56" s="13">
        <f>D56*Parameters!$B$2+E56*Parameters!$B$3+F56*Parameters!$B$4+G56*Parameters!$B$5</f>
        <v>74.5569663</v>
      </c>
      <c r="I56" s="16">
        <v>18000.50346</v>
      </c>
    </row>
    <row r="57" ht="13.5" customHeight="1">
      <c r="A57" s="15">
        <f t="shared" si="1"/>
        <v>56</v>
      </c>
      <c r="B57" s="12" t="s">
        <v>492</v>
      </c>
      <c r="C57" s="12" t="s">
        <v>257</v>
      </c>
      <c r="D57" s="13">
        <v>100.0</v>
      </c>
      <c r="E57" s="13">
        <v>74.99196035</v>
      </c>
      <c r="F57" s="13">
        <v>33.1456559561215</v>
      </c>
      <c r="G57" s="13">
        <v>89.9722436525289</v>
      </c>
      <c r="H57" s="13">
        <f>D57*Parameters!$B$2+E57*Parameters!$B$3+F57*Parameters!$B$4+G57*Parameters!$B$5</f>
        <v>74.52746499</v>
      </c>
      <c r="I57" s="16">
        <v>63377.29321</v>
      </c>
    </row>
    <row r="58" ht="13.5" customHeight="1">
      <c r="A58" s="15">
        <f t="shared" si="1"/>
        <v>57</v>
      </c>
      <c r="B58" s="12" t="s">
        <v>240</v>
      </c>
      <c r="C58" s="12" t="s">
        <v>239</v>
      </c>
      <c r="D58" s="13">
        <v>100.0</v>
      </c>
      <c r="E58" s="13">
        <v>90.25695867</v>
      </c>
      <c r="F58" s="13">
        <v>77.9589473760493</v>
      </c>
      <c r="G58" s="13">
        <v>27.4586749856758</v>
      </c>
      <c r="H58" s="13">
        <f>D58*Parameters!$B$2+E58*Parameters!$B$3+F58*Parameters!$B$4+G58*Parameters!$B$5</f>
        <v>73.91864526</v>
      </c>
      <c r="I58" s="16">
        <v>1423.586247</v>
      </c>
    </row>
    <row r="59" ht="13.5" customHeight="1">
      <c r="A59" s="15">
        <f t="shared" si="1"/>
        <v>58</v>
      </c>
      <c r="B59" s="12" t="s">
        <v>493</v>
      </c>
      <c r="C59" s="12" t="s">
        <v>203</v>
      </c>
      <c r="D59" s="13">
        <v>99.3876337317974</v>
      </c>
      <c r="E59" s="13">
        <v>69.13879282</v>
      </c>
      <c r="F59" s="13">
        <v>42.5367658794128</v>
      </c>
      <c r="G59" s="13">
        <v>84.2352107435956</v>
      </c>
      <c r="H59" s="13">
        <f>D59*Parameters!$B$2+E59*Parameters!$B$3+F59*Parameters!$B$4+G59*Parameters!$B$5</f>
        <v>73.82460079</v>
      </c>
      <c r="I59" s="16">
        <v>44734.43653</v>
      </c>
    </row>
    <row r="60" ht="13.5" customHeight="1">
      <c r="A60" s="15">
        <f t="shared" si="1"/>
        <v>59</v>
      </c>
      <c r="B60" s="12" t="s">
        <v>380</v>
      </c>
      <c r="C60" s="12" t="s">
        <v>379</v>
      </c>
      <c r="D60" s="13">
        <v>88.1852266013056</v>
      </c>
      <c r="E60" s="13">
        <v>56.74853093</v>
      </c>
      <c r="F60" s="13">
        <v>100.0</v>
      </c>
      <c r="G60" s="13">
        <v>50.3499908682046</v>
      </c>
      <c r="H60" s="13">
        <f>D60*Parameters!$B$2+E60*Parameters!$B$3+F60*Parameters!$B$4+G60*Parameters!$B$5</f>
        <v>73.8209371</v>
      </c>
      <c r="I60" s="16">
        <v>5715.475315</v>
      </c>
    </row>
    <row r="61" ht="13.5" customHeight="1">
      <c r="A61" s="15">
        <f t="shared" si="1"/>
        <v>60</v>
      </c>
      <c r="B61" s="12" t="s">
        <v>402</v>
      </c>
      <c r="C61" s="12" t="s">
        <v>401</v>
      </c>
      <c r="D61" s="13">
        <v>99.994862597276</v>
      </c>
      <c r="E61" s="13">
        <v>85.07121443</v>
      </c>
      <c r="F61" s="13">
        <v>81.2305184808132</v>
      </c>
      <c r="G61" s="13">
        <v>28.2794971053876</v>
      </c>
      <c r="H61" s="13">
        <f>D61*Parameters!$B$2+E61*Parameters!$B$3+F61*Parameters!$B$4+G61*Parameters!$B$5</f>
        <v>73.64402315</v>
      </c>
      <c r="I61" s="16">
        <v>1496.338134</v>
      </c>
    </row>
    <row r="62" ht="13.5" customHeight="1">
      <c r="A62" s="15">
        <f t="shared" si="1"/>
        <v>61</v>
      </c>
      <c r="B62" s="12" t="s">
        <v>206</v>
      </c>
      <c r="C62" s="12" t="s">
        <v>205</v>
      </c>
      <c r="D62" s="13">
        <v>72.8320647999962</v>
      </c>
      <c r="E62" s="13">
        <v>88.3137202</v>
      </c>
      <c r="F62" s="13">
        <v>65.5114587883994</v>
      </c>
      <c r="G62" s="13">
        <v>67.8526789382308</v>
      </c>
      <c r="H62" s="13">
        <f>D62*Parameters!$B$2+E62*Parameters!$B$3+F62*Parameters!$B$4+G62*Parameters!$B$5</f>
        <v>73.62748068</v>
      </c>
      <c r="I62" s="16">
        <v>16543.10491</v>
      </c>
    </row>
    <row r="63" ht="13.5" customHeight="1">
      <c r="A63" s="15">
        <f t="shared" si="1"/>
        <v>62</v>
      </c>
      <c r="B63" s="12" t="s">
        <v>288</v>
      </c>
      <c r="C63" s="12" t="s">
        <v>287</v>
      </c>
      <c r="D63" s="13">
        <v>99.5850455918182</v>
      </c>
      <c r="E63" s="13">
        <v>80.68852407</v>
      </c>
      <c r="F63" s="13">
        <v>100.0</v>
      </c>
      <c r="G63" s="13">
        <v>13.3871697841606</v>
      </c>
      <c r="H63" s="13">
        <f>D63*Parameters!$B$2+E63*Parameters!$B$3+F63*Parameters!$B$4+G63*Parameters!$B$5</f>
        <v>73.41518486</v>
      </c>
      <c r="I63" s="16">
        <v>605.7634814</v>
      </c>
    </row>
    <row r="64" ht="13.5" customHeight="1">
      <c r="A64" s="15">
        <f t="shared" si="1"/>
        <v>63</v>
      </c>
      <c r="B64" s="12" t="s">
        <v>465</v>
      </c>
      <c r="C64" s="12" t="s">
        <v>117</v>
      </c>
      <c r="D64" s="13">
        <v>99.791394055711</v>
      </c>
      <c r="E64" s="13">
        <v>63.34326897</v>
      </c>
      <c r="F64" s="13">
        <v>100.0</v>
      </c>
      <c r="G64" s="13">
        <v>30.1048118651984</v>
      </c>
      <c r="H64" s="13">
        <f>D64*Parameters!$B$2+E64*Parameters!$B$3+F64*Parameters!$B$4+G64*Parameters!$B$5</f>
        <v>73.30986872</v>
      </c>
      <c r="I64" s="16">
        <v>1671.726602</v>
      </c>
    </row>
    <row r="65" ht="13.5" customHeight="1">
      <c r="A65" s="15">
        <f t="shared" si="1"/>
        <v>64</v>
      </c>
      <c r="B65" s="12" t="s">
        <v>406</v>
      </c>
      <c r="C65" s="12" t="s">
        <v>405</v>
      </c>
      <c r="D65" s="13">
        <v>95.2360001232858</v>
      </c>
      <c r="E65" s="13">
        <v>81.17971761</v>
      </c>
      <c r="F65" s="13">
        <v>63.4803865776028</v>
      </c>
      <c r="G65" s="13">
        <v>52.7610254007113</v>
      </c>
      <c r="H65" s="13">
        <f>D65*Parameters!$B$2+E65*Parameters!$B$3+F65*Parameters!$B$4+G65*Parameters!$B$5</f>
        <v>73.16428243</v>
      </c>
      <c r="I65" s="16">
        <v>6616.585393</v>
      </c>
    </row>
    <row r="66" ht="13.5" customHeight="1">
      <c r="A66" s="15">
        <f t="shared" si="1"/>
        <v>65</v>
      </c>
      <c r="B66" s="12" t="s">
        <v>100</v>
      </c>
      <c r="C66" s="12" t="s">
        <v>99</v>
      </c>
      <c r="D66" s="13">
        <v>99.4351060019992</v>
      </c>
      <c r="E66" s="13">
        <v>64.10620067</v>
      </c>
      <c r="F66" s="13">
        <v>100.0</v>
      </c>
      <c r="G66" s="13">
        <v>28.1068237033062</v>
      </c>
      <c r="H66" s="13">
        <f>D66*Parameters!$B$2+E66*Parameters!$B$3+F66*Parameters!$B$4+G66*Parameters!$B$5</f>
        <v>72.91203259</v>
      </c>
      <c r="I66" s="16">
        <v>1480.730974</v>
      </c>
    </row>
    <row r="67" ht="13.5" customHeight="1">
      <c r="A67" s="15">
        <f t="shared" si="1"/>
        <v>66</v>
      </c>
      <c r="B67" s="12" t="s">
        <v>216</v>
      </c>
      <c r="C67" s="12" t="s">
        <v>215</v>
      </c>
      <c r="D67" s="13">
        <v>99.7128223916025</v>
      </c>
      <c r="E67" s="13">
        <v>46.69837797</v>
      </c>
      <c r="F67" s="13">
        <v>100.0</v>
      </c>
      <c r="G67" s="13">
        <v>45.1986913025318</v>
      </c>
      <c r="H67" s="13">
        <f>D67*Parameters!$B$2+E67*Parameters!$B$3+F67*Parameters!$B$4+G67*Parameters!$B$5</f>
        <v>72.90247292</v>
      </c>
      <c r="I67" s="16">
        <v>4180.296195</v>
      </c>
    </row>
    <row r="68" ht="13.5" customHeight="1">
      <c r="A68" s="15">
        <f t="shared" si="1"/>
        <v>67</v>
      </c>
      <c r="B68" s="12" t="s">
        <v>146</v>
      </c>
      <c r="C68" s="12" t="s">
        <v>145</v>
      </c>
      <c r="D68" s="13">
        <v>94.7378628242284</v>
      </c>
      <c r="E68" s="13">
        <v>67.55504234</v>
      </c>
      <c r="F68" s="13">
        <v>83.9659799062284</v>
      </c>
      <c r="G68" s="13">
        <v>45.0296585050055</v>
      </c>
      <c r="H68" s="13">
        <f>D68*Parameters!$B$2+E68*Parameters!$B$3+F68*Parameters!$B$4+G68*Parameters!$B$5</f>
        <v>72.82213589</v>
      </c>
      <c r="I68" s="16">
        <v>4137.609292</v>
      </c>
    </row>
    <row r="69" ht="13.5" customHeight="1">
      <c r="A69" s="15">
        <f t="shared" si="1"/>
        <v>68</v>
      </c>
      <c r="B69" s="12" t="s">
        <v>459</v>
      </c>
      <c r="C69" s="12" t="s">
        <v>77</v>
      </c>
      <c r="D69" s="13">
        <v>96.0988236805972</v>
      </c>
      <c r="E69" s="13">
        <v>58.29340859</v>
      </c>
      <c r="F69" s="13">
        <v>82.6573222045377</v>
      </c>
      <c r="G69" s="13">
        <v>53.0823549761994</v>
      </c>
      <c r="H69" s="13">
        <f>D69*Parameters!$B$2+E69*Parameters!$B$3+F69*Parameters!$B$4+G69*Parameters!$B$5</f>
        <v>72.53297736</v>
      </c>
      <c r="I69" s="16">
        <v>6746.953665</v>
      </c>
    </row>
    <row r="70" ht="13.5" customHeight="1">
      <c r="A70" s="15">
        <f t="shared" si="1"/>
        <v>69</v>
      </c>
      <c r="B70" s="12" t="s">
        <v>178</v>
      </c>
      <c r="C70" s="12" t="s">
        <v>177</v>
      </c>
      <c r="D70" s="13">
        <v>57.8256630894449</v>
      </c>
      <c r="E70" s="13">
        <v>87.0139116</v>
      </c>
      <c r="F70" s="13">
        <v>60.8571006192576</v>
      </c>
      <c r="G70" s="13">
        <v>83.9729783456977</v>
      </c>
      <c r="H70" s="13">
        <f>D70*Parameters!$B$2+E70*Parameters!$B$3+F70*Parameters!$B$4+G70*Parameters!$B$5</f>
        <v>72.41741341</v>
      </c>
      <c r="I70" s="16">
        <v>44027.76316</v>
      </c>
    </row>
    <row r="71" ht="13.5" customHeight="1">
      <c r="A71" s="15">
        <f t="shared" si="1"/>
        <v>70</v>
      </c>
      <c r="B71" s="12" t="s">
        <v>494</v>
      </c>
      <c r="C71" s="12" t="s">
        <v>419</v>
      </c>
      <c r="D71" s="13">
        <v>80.0631864380643</v>
      </c>
      <c r="E71" s="13">
        <v>89.12612407</v>
      </c>
      <c r="F71" s="13">
        <v>51.7946100135217</v>
      </c>
      <c r="G71" s="13">
        <v>66.6681786534786</v>
      </c>
      <c r="H71" s="13">
        <f>D71*Parameters!$B$2+E71*Parameters!$B$3+F71*Parameters!$B$4+G71*Parameters!$B$5</f>
        <v>71.91302479</v>
      </c>
      <c r="I71" s="16">
        <v>15395.02789</v>
      </c>
    </row>
    <row r="72" ht="13.5" customHeight="1">
      <c r="A72" s="15">
        <f t="shared" si="1"/>
        <v>71</v>
      </c>
      <c r="B72" s="12" t="s">
        <v>244</v>
      </c>
      <c r="C72" s="12" t="s">
        <v>243</v>
      </c>
      <c r="D72" s="13">
        <v>91.3632966324326</v>
      </c>
      <c r="E72" s="13">
        <v>73.21569386</v>
      </c>
      <c r="F72" s="13">
        <v>55.2617799154726</v>
      </c>
      <c r="G72" s="13">
        <v>67.6857387735372</v>
      </c>
      <c r="H72" s="13">
        <f>D72*Parameters!$B$2+E72*Parameters!$B$3+F72*Parameters!$B$4+G72*Parameters!$B$5</f>
        <v>71.8816273</v>
      </c>
      <c r="I72" s="16">
        <v>16376.25652</v>
      </c>
    </row>
    <row r="73" ht="13.5" customHeight="1">
      <c r="A73" s="15">
        <f t="shared" si="1"/>
        <v>72</v>
      </c>
      <c r="B73" s="12" t="s">
        <v>222</v>
      </c>
      <c r="C73" s="12" t="s">
        <v>221</v>
      </c>
      <c r="D73" s="13">
        <v>77.727852525207</v>
      </c>
      <c r="E73" s="13">
        <v>76.62339576</v>
      </c>
      <c r="F73" s="13">
        <v>53.0808390366552</v>
      </c>
      <c r="G73" s="13">
        <v>79.9608065093786</v>
      </c>
      <c r="H73" s="13">
        <f>D73*Parameters!$B$2+E73*Parameters!$B$3+F73*Parameters!$B$4+G73*Parameters!$B$5</f>
        <v>71.84822346</v>
      </c>
      <c r="I73" s="16">
        <v>34508.12352</v>
      </c>
    </row>
    <row r="74" ht="13.5" customHeight="1">
      <c r="A74" s="15">
        <f t="shared" si="1"/>
        <v>73</v>
      </c>
      <c r="B74" s="12" t="s">
        <v>416</v>
      </c>
      <c r="C74" s="12" t="s">
        <v>415</v>
      </c>
      <c r="D74" s="13">
        <v>99.9282869571369</v>
      </c>
      <c r="E74" s="13">
        <v>19.46726716</v>
      </c>
      <c r="F74" s="13">
        <v>100.0</v>
      </c>
      <c r="G74" s="13">
        <v>67.621482447258</v>
      </c>
      <c r="H74" s="13">
        <f>D74*Parameters!$B$2+E74*Parameters!$B$3+F74*Parameters!$B$4+G74*Parameters!$B$5</f>
        <v>71.75425914</v>
      </c>
      <c r="I74" s="16">
        <v>16312.48496</v>
      </c>
    </row>
    <row r="75" ht="13.5" customHeight="1">
      <c r="A75" s="15">
        <f t="shared" si="1"/>
        <v>74</v>
      </c>
      <c r="B75" s="12" t="s">
        <v>318</v>
      </c>
      <c r="C75" s="12" t="s">
        <v>317</v>
      </c>
      <c r="D75" s="13">
        <v>94.5331125569209</v>
      </c>
      <c r="E75" s="13">
        <v>90.36194474</v>
      </c>
      <c r="F75" s="13">
        <v>72.1216147745913</v>
      </c>
      <c r="G75" s="13">
        <v>29.7398549756188</v>
      </c>
      <c r="H75" s="13">
        <f>D75*Parameters!$B$2+E75*Parameters!$B$3+F75*Parameters!$B$4+G75*Parameters!$B$5</f>
        <v>71.68913176</v>
      </c>
      <c r="I75" s="16">
        <v>1635.087312</v>
      </c>
    </row>
    <row r="76" ht="13.5" customHeight="1">
      <c r="A76" s="15">
        <f t="shared" si="1"/>
        <v>75</v>
      </c>
      <c r="B76" s="12" t="s">
        <v>42</v>
      </c>
      <c r="C76" s="12" t="s">
        <v>41</v>
      </c>
      <c r="D76" s="13">
        <v>97.1698750376941</v>
      </c>
      <c r="E76" s="13">
        <v>50.18949343</v>
      </c>
      <c r="F76" s="13">
        <v>100.0</v>
      </c>
      <c r="G76" s="13">
        <v>38.5904215088849</v>
      </c>
      <c r="H76" s="13">
        <f>D76*Parameters!$B$2+E76*Parameters!$B$3+F76*Parameters!$B$4+G76*Parameters!$B$5</f>
        <v>71.48744749</v>
      </c>
      <c r="I76" s="16">
        <v>2798.593928</v>
      </c>
    </row>
    <row r="77" ht="13.5" customHeight="1">
      <c r="A77" s="15">
        <f t="shared" si="1"/>
        <v>76</v>
      </c>
      <c r="B77" s="12" t="s">
        <v>66</v>
      </c>
      <c r="C77" s="12" t="s">
        <v>65</v>
      </c>
      <c r="D77" s="13">
        <v>68.9215848794817</v>
      </c>
      <c r="E77" s="13">
        <v>79.3187482</v>
      </c>
      <c r="F77" s="13">
        <v>53.0478847362197</v>
      </c>
      <c r="G77" s="13">
        <v>84.339894208147</v>
      </c>
      <c r="H77" s="13">
        <f>D77*Parameters!$B$2+E77*Parameters!$B$3+F77*Parameters!$B$4+G77*Parameters!$B$5</f>
        <v>71.40702801</v>
      </c>
      <c r="I77" s="16">
        <v>45019.69897</v>
      </c>
    </row>
    <row r="78" ht="13.5" customHeight="1">
      <c r="A78" s="15">
        <f t="shared" si="1"/>
        <v>77</v>
      </c>
      <c r="B78" s="12" t="s">
        <v>422</v>
      </c>
      <c r="C78" s="12" t="s">
        <v>421</v>
      </c>
      <c r="D78" s="13">
        <v>100.0</v>
      </c>
      <c r="E78" s="13">
        <v>28.7792717</v>
      </c>
      <c r="F78" s="13">
        <v>100.0</v>
      </c>
      <c r="G78" s="13">
        <v>56.3539256839685</v>
      </c>
      <c r="H78" s="13">
        <f>D78*Parameters!$B$2+E78*Parameters!$B$3+F78*Parameters!$B$4+G78*Parameters!$B$5</f>
        <v>71.28329935</v>
      </c>
      <c r="I78" s="16">
        <v>8229.672611</v>
      </c>
    </row>
    <row r="79" ht="13.5" customHeight="1">
      <c r="A79" s="15">
        <f t="shared" si="1"/>
        <v>78</v>
      </c>
      <c r="B79" s="12" t="s">
        <v>450</v>
      </c>
      <c r="C79" s="12" t="s">
        <v>449</v>
      </c>
      <c r="D79" s="13">
        <v>99.1496491349122</v>
      </c>
      <c r="E79" s="13">
        <v>81.19329059</v>
      </c>
      <c r="F79" s="13">
        <v>78.1886852757817</v>
      </c>
      <c r="G79" s="13">
        <v>26.5037733449151</v>
      </c>
      <c r="H79" s="13">
        <f>D79*Parameters!$B$2+E79*Parameters!$B$3+F79*Parameters!$B$4+G79*Parameters!$B$5</f>
        <v>71.25884959</v>
      </c>
      <c r="I79" s="16">
        <v>1343.389664</v>
      </c>
    </row>
    <row r="80" ht="13.5" customHeight="1">
      <c r="A80" s="15">
        <f t="shared" si="1"/>
        <v>79</v>
      </c>
      <c r="B80" s="12" t="s">
        <v>128</v>
      </c>
      <c r="C80" s="12" t="s">
        <v>127</v>
      </c>
      <c r="D80" s="13">
        <v>77.9515289183733</v>
      </c>
      <c r="E80" s="13">
        <v>76.02128574</v>
      </c>
      <c r="F80" s="13">
        <v>60.7519359748424</v>
      </c>
      <c r="G80" s="13">
        <v>69.1088448239982</v>
      </c>
      <c r="H80" s="13">
        <f>D80*Parameters!$B$2+E80*Parameters!$B$3+F80*Parameters!$B$4+G80*Parameters!$B$5</f>
        <v>70.95839886</v>
      </c>
      <c r="I80" s="16">
        <v>17854.32626</v>
      </c>
    </row>
    <row r="81" ht="13.5" customHeight="1">
      <c r="A81" s="15">
        <f t="shared" si="1"/>
        <v>80</v>
      </c>
      <c r="B81" s="12" t="s">
        <v>218</v>
      </c>
      <c r="C81" s="12" t="s">
        <v>217</v>
      </c>
      <c r="D81" s="13">
        <v>59.2983081134164</v>
      </c>
      <c r="E81" s="13">
        <v>73.65456328</v>
      </c>
      <c r="F81" s="13">
        <v>53.8042922895389</v>
      </c>
      <c r="G81" s="13">
        <v>96.5469915302356</v>
      </c>
      <c r="H81" s="13">
        <f>D81*Parameters!$B$2+E81*Parameters!$B$3+F81*Parameters!$B$4+G81*Parameters!$B$5</f>
        <v>70.8260388</v>
      </c>
      <c r="I81" s="16">
        <v>94474.98797</v>
      </c>
    </row>
    <row r="82" ht="13.5" customHeight="1">
      <c r="A82" s="15">
        <f t="shared" si="1"/>
        <v>81</v>
      </c>
      <c r="B82" s="12" t="s">
        <v>482</v>
      </c>
      <c r="C82" s="12" t="s">
        <v>445</v>
      </c>
      <c r="D82" s="13">
        <v>85.4383796187661</v>
      </c>
      <c r="E82" s="13">
        <v>76.88028188</v>
      </c>
      <c r="F82" s="13">
        <v>75.8678581986123</v>
      </c>
      <c r="G82" s="13">
        <v>44.5240443113894</v>
      </c>
      <c r="H82" s="13">
        <f>D82*Parameters!$B$2+E82*Parameters!$B$3+F82*Parameters!$B$4+G82*Parameters!$B$5</f>
        <v>70.677641</v>
      </c>
      <c r="I82" s="16">
        <v>4012.507799</v>
      </c>
    </row>
    <row r="83" ht="13.5" customHeight="1">
      <c r="A83" s="15">
        <f t="shared" si="1"/>
        <v>82</v>
      </c>
      <c r="B83" s="12" t="s">
        <v>64</v>
      </c>
      <c r="C83" s="12" t="s">
        <v>63</v>
      </c>
      <c r="D83" s="13">
        <v>98.9871374943402</v>
      </c>
      <c r="E83" s="13">
        <v>73.79324037</v>
      </c>
      <c r="F83" s="13">
        <v>56.1217305541521</v>
      </c>
      <c r="G83" s="13">
        <v>53.2460325674527</v>
      </c>
      <c r="H83" s="13">
        <f>D83*Parameters!$B$2+E83*Parameters!$B$3+F83*Parameters!$B$4+G83*Parameters!$B$5</f>
        <v>70.53703525</v>
      </c>
      <c r="I83" s="16">
        <v>6814.344434</v>
      </c>
    </row>
    <row r="84" ht="13.5" customHeight="1">
      <c r="A84" s="15">
        <f t="shared" si="1"/>
        <v>83</v>
      </c>
      <c r="B84" s="12" t="s">
        <v>144</v>
      </c>
      <c r="C84" s="12" t="s">
        <v>143</v>
      </c>
      <c r="D84" s="13">
        <v>99.1722983772742</v>
      </c>
      <c r="E84" s="13">
        <v>31.02419267</v>
      </c>
      <c r="F84" s="13">
        <v>100.0</v>
      </c>
      <c r="G84" s="13">
        <v>51.1328961336834</v>
      </c>
      <c r="H84" s="13">
        <f>D84*Parameters!$B$2+E84*Parameters!$B$3+F84*Parameters!$B$4+G84*Parameters!$B$5</f>
        <v>70.3323468</v>
      </c>
      <c r="I84" s="16">
        <v>5993.746978</v>
      </c>
    </row>
    <row r="85" ht="13.5" customHeight="1">
      <c r="A85" s="15">
        <f t="shared" si="1"/>
        <v>84</v>
      </c>
      <c r="B85" s="12" t="s">
        <v>242</v>
      </c>
      <c r="C85" s="12" t="s">
        <v>241</v>
      </c>
      <c r="D85" s="13">
        <v>99.8277363454581</v>
      </c>
      <c r="E85" s="13">
        <v>43.04742559</v>
      </c>
      <c r="F85" s="13">
        <v>100.0</v>
      </c>
      <c r="G85" s="13">
        <v>38.1278358856197</v>
      </c>
      <c r="H85" s="13">
        <f>D85*Parameters!$B$2+E85*Parameters!$B$3+F85*Parameters!$B$4+G85*Parameters!$B$5</f>
        <v>70.25074946</v>
      </c>
      <c r="I85" s="16">
        <v>2721.078107</v>
      </c>
    </row>
    <row r="86" ht="13.5" customHeight="1">
      <c r="A86" s="15">
        <f t="shared" si="1"/>
        <v>85</v>
      </c>
      <c r="B86" s="12" t="s">
        <v>176</v>
      </c>
      <c r="C86" s="12" t="s">
        <v>175</v>
      </c>
      <c r="D86" s="13">
        <v>99.1229136806166</v>
      </c>
      <c r="E86" s="13">
        <v>78.66398894</v>
      </c>
      <c r="F86" s="13">
        <v>49.9701008219806</v>
      </c>
      <c r="G86" s="13">
        <v>52.7355491705093</v>
      </c>
      <c r="H86" s="13">
        <f>D86*Parameters!$B$2+E86*Parameters!$B$3+F86*Parameters!$B$4+G86*Parameters!$B$5</f>
        <v>70.12313815</v>
      </c>
      <c r="I86" s="16">
        <v>6606.357723</v>
      </c>
    </row>
    <row r="87" ht="13.5" customHeight="1">
      <c r="A87" s="15">
        <f t="shared" si="1"/>
        <v>86</v>
      </c>
      <c r="B87" s="12" t="s">
        <v>452</v>
      </c>
      <c r="C87" s="12" t="s">
        <v>451</v>
      </c>
      <c r="D87" s="13">
        <v>99.6486306405956</v>
      </c>
      <c r="E87" s="13">
        <v>71.55278438</v>
      </c>
      <c r="F87" s="13">
        <v>81.8719902726531</v>
      </c>
      <c r="G87" s="13">
        <v>27.379988967538</v>
      </c>
      <c r="H87" s="13">
        <f>D87*Parameters!$B$2+E87*Parameters!$B$3+F87*Parameters!$B$4+G87*Parameters!$B$5</f>
        <v>70.11334857</v>
      </c>
      <c r="I87" s="16">
        <v>1416.800655</v>
      </c>
    </row>
    <row r="88" ht="13.5" customHeight="1">
      <c r="A88" s="15">
        <f t="shared" si="1"/>
        <v>87</v>
      </c>
      <c r="B88" s="12" t="s">
        <v>198</v>
      </c>
      <c r="C88" s="12" t="s">
        <v>197</v>
      </c>
      <c r="D88" s="13">
        <v>98.5275010827198</v>
      </c>
      <c r="E88" s="13">
        <v>0.0</v>
      </c>
      <c r="F88" s="13">
        <v>100.0</v>
      </c>
      <c r="G88" s="13">
        <v>79.2423031437813</v>
      </c>
      <c r="H88" s="13">
        <f>D88*Parameters!$B$2+E88*Parameters!$B$3+F88*Parameters!$B$4+G88*Parameters!$B$5</f>
        <v>69.44245106</v>
      </c>
      <c r="I88" s="16">
        <v>33034.94887</v>
      </c>
    </row>
    <row r="89" ht="13.5" customHeight="1">
      <c r="A89" s="15">
        <f t="shared" si="1"/>
        <v>88</v>
      </c>
      <c r="B89" s="12" t="s">
        <v>150</v>
      </c>
      <c r="C89" s="12" t="s">
        <v>149</v>
      </c>
      <c r="D89" s="13">
        <v>100.0</v>
      </c>
      <c r="E89" s="13">
        <v>29.43444406</v>
      </c>
      <c r="F89" s="13">
        <v>100.0</v>
      </c>
      <c r="G89" s="13">
        <v>47.7910772005365</v>
      </c>
      <c r="H89" s="13">
        <f>D89*Parameters!$B$2+E89*Parameters!$B$3+F89*Parameters!$B$4+G89*Parameters!$B$5</f>
        <v>69.30638032</v>
      </c>
      <c r="I89" s="16">
        <v>4892.953105</v>
      </c>
    </row>
    <row r="90" ht="13.5" customHeight="1">
      <c r="A90" s="15">
        <f t="shared" si="1"/>
        <v>89</v>
      </c>
      <c r="B90" s="12" t="s">
        <v>296</v>
      </c>
      <c r="C90" s="12" t="s">
        <v>295</v>
      </c>
      <c r="D90" s="13">
        <v>54.6454188408308</v>
      </c>
      <c r="E90" s="13">
        <v>77.2000964</v>
      </c>
      <c r="F90" s="13">
        <v>58.2090714258842</v>
      </c>
      <c r="G90" s="13">
        <v>86.4503283569581</v>
      </c>
      <c r="H90" s="13">
        <f>D90*Parameters!$B$2+E90*Parameters!$B$3+F90*Parameters!$B$4+G90*Parameters!$B$5</f>
        <v>69.12622876</v>
      </c>
      <c r="I90" s="16">
        <v>51174.89973</v>
      </c>
    </row>
    <row r="91" ht="13.5" customHeight="1">
      <c r="A91" s="15">
        <f t="shared" si="1"/>
        <v>90</v>
      </c>
      <c r="B91" s="12" t="s">
        <v>156</v>
      </c>
      <c r="C91" s="12" t="s">
        <v>155</v>
      </c>
      <c r="D91" s="13">
        <v>94.8997312047095</v>
      </c>
      <c r="E91" s="13">
        <v>75.33051833</v>
      </c>
      <c r="F91" s="13">
        <v>61.9960981451985</v>
      </c>
      <c r="G91" s="13">
        <v>43.9130591870337</v>
      </c>
      <c r="H91" s="13">
        <f>D91*Parameters!$B$2+E91*Parameters!$B$3+F91*Parameters!$B$4+G91*Parameters!$B$5</f>
        <v>69.03485172</v>
      </c>
      <c r="I91" s="16">
        <v>3866.371279</v>
      </c>
    </row>
    <row r="92" ht="13.5" customHeight="1">
      <c r="A92" s="15">
        <f t="shared" si="1"/>
        <v>91</v>
      </c>
      <c r="B92" s="12" t="s">
        <v>324</v>
      </c>
      <c r="C92" s="12" t="s">
        <v>323</v>
      </c>
      <c r="D92" s="13">
        <v>99.8552538132062</v>
      </c>
      <c r="E92" s="13">
        <v>38.62597021</v>
      </c>
      <c r="F92" s="13">
        <v>100.0</v>
      </c>
      <c r="G92" s="13">
        <v>37.1673041537009</v>
      </c>
      <c r="H92" s="13">
        <f>D92*Parameters!$B$2+E92*Parameters!$B$3+F92*Parameters!$B$4+G92*Parameters!$B$5</f>
        <v>68.91213204</v>
      </c>
      <c r="I92" s="16">
        <v>2566.910671</v>
      </c>
    </row>
    <row r="93" ht="13.5" customHeight="1">
      <c r="A93" s="15">
        <f t="shared" si="1"/>
        <v>92</v>
      </c>
      <c r="B93" s="12" t="s">
        <v>312</v>
      </c>
      <c r="C93" s="12" t="s">
        <v>311</v>
      </c>
      <c r="D93" s="13">
        <v>84.9503755702897</v>
      </c>
      <c r="E93" s="13">
        <v>81.41604122</v>
      </c>
      <c r="F93" s="13">
        <v>56.4056710947356</v>
      </c>
      <c r="G93" s="13">
        <v>52.7915158016314</v>
      </c>
      <c r="H93" s="13">
        <f>D93*Parameters!$B$2+E93*Parameters!$B$3+F93*Parameters!$B$4+G93*Parameters!$B$5</f>
        <v>68.89090092</v>
      </c>
      <c r="I93" s="16">
        <v>6628.846866</v>
      </c>
    </row>
    <row r="94" ht="13.5" customHeight="1">
      <c r="A94" s="15">
        <f t="shared" si="1"/>
        <v>93</v>
      </c>
      <c r="B94" s="12" t="s">
        <v>392</v>
      </c>
      <c r="C94" s="12" t="s">
        <v>391</v>
      </c>
      <c r="D94" s="13">
        <v>99.2148703582655</v>
      </c>
      <c r="E94" s="13">
        <v>21.5082529</v>
      </c>
      <c r="F94" s="13">
        <v>99.8425042231228</v>
      </c>
      <c r="G94" s="13">
        <v>54.2581147102309</v>
      </c>
      <c r="H94" s="13">
        <f>D94*Parameters!$B$2+E94*Parameters!$B$3+F94*Parameters!$B$4+G94*Parameters!$B$5</f>
        <v>68.70593555</v>
      </c>
      <c r="I94" s="16">
        <v>7246.257682</v>
      </c>
    </row>
    <row r="95" ht="13.5" customHeight="1">
      <c r="A95" s="15">
        <f t="shared" si="1"/>
        <v>94</v>
      </c>
      <c r="B95" s="12" t="s">
        <v>136</v>
      </c>
      <c r="C95" s="12" t="s">
        <v>135</v>
      </c>
      <c r="D95" s="13">
        <v>29.177027740302</v>
      </c>
      <c r="E95" s="13">
        <v>75.71553786</v>
      </c>
      <c r="F95" s="13">
        <v>79.5295968290885</v>
      </c>
      <c r="G95" s="13">
        <v>89.2811836270795</v>
      </c>
      <c r="H95" s="13">
        <f>D95*Parameters!$B$2+E95*Parameters!$B$3+F95*Parameters!$B$4+G95*Parameters!$B$5</f>
        <v>68.42583651</v>
      </c>
      <c r="I95" s="16">
        <v>60772.86243</v>
      </c>
    </row>
    <row r="96" ht="13.5" customHeight="1">
      <c r="A96" s="15">
        <f t="shared" si="1"/>
        <v>95</v>
      </c>
      <c r="B96" s="12" t="s">
        <v>440</v>
      </c>
      <c r="C96" s="12" t="s">
        <v>439</v>
      </c>
      <c r="D96" s="13">
        <v>99.3182096860859</v>
      </c>
      <c r="E96" s="13">
        <v>41.17592293</v>
      </c>
      <c r="F96" s="13">
        <v>86.8334683176011</v>
      </c>
      <c r="G96" s="13">
        <v>46.3312981775508</v>
      </c>
      <c r="H96" s="13">
        <f>D96*Parameters!$B$2+E96*Parameters!$B$3+F96*Parameters!$B$4+G96*Parameters!$B$5</f>
        <v>68.41472478</v>
      </c>
      <c r="I96" s="16">
        <v>4477.907455</v>
      </c>
    </row>
    <row r="97" ht="13.5" customHeight="1">
      <c r="A97" s="15">
        <f t="shared" si="1"/>
        <v>96</v>
      </c>
      <c r="B97" s="12" t="s">
        <v>495</v>
      </c>
      <c r="C97" s="12" t="s">
        <v>125</v>
      </c>
      <c r="D97" s="13">
        <v>99.8097747444248</v>
      </c>
      <c r="E97" s="13">
        <v>60.64279137</v>
      </c>
      <c r="F97" s="13">
        <v>76.8798621300089</v>
      </c>
      <c r="G97" s="13">
        <v>36.0302353694507</v>
      </c>
      <c r="H97" s="13">
        <f>D97*Parameters!$B$2+E97*Parameters!$B$3+F97*Parameters!$B$4+G97*Parameters!$B$5</f>
        <v>68.3406659</v>
      </c>
      <c r="I97" s="16">
        <v>2395.65917</v>
      </c>
    </row>
    <row r="98" ht="13.5" customHeight="1">
      <c r="A98" s="15">
        <f t="shared" si="1"/>
        <v>97</v>
      </c>
      <c r="B98" s="12" t="s">
        <v>210</v>
      </c>
      <c r="C98" s="12" t="s">
        <v>209</v>
      </c>
      <c r="D98" s="13">
        <v>88.9800041771782</v>
      </c>
      <c r="E98" s="13">
        <v>71.68034816</v>
      </c>
      <c r="F98" s="13">
        <v>75.5225151755384</v>
      </c>
      <c r="G98" s="13">
        <v>35.830871651007</v>
      </c>
      <c r="H98" s="13">
        <f>D98*Parameters!$B$2+E98*Parameters!$B$3+F98*Parameters!$B$4+G98*Parameters!$B$5</f>
        <v>68.00343479</v>
      </c>
      <c r="I98" s="16">
        <v>2366.832891</v>
      </c>
    </row>
    <row r="99" ht="13.5" customHeight="1">
      <c r="A99" s="15">
        <f t="shared" si="1"/>
        <v>98</v>
      </c>
      <c r="B99" s="12" t="s">
        <v>60</v>
      </c>
      <c r="C99" s="12" t="s">
        <v>59</v>
      </c>
      <c r="D99" s="13">
        <v>98.7990130135067</v>
      </c>
      <c r="E99" s="13">
        <v>77.69104941</v>
      </c>
      <c r="F99" s="13">
        <v>62.4519488292087</v>
      </c>
      <c r="G99" s="13">
        <v>32.5667005061902</v>
      </c>
      <c r="H99" s="13">
        <f>D99*Parameters!$B$2+E99*Parameters!$B$3+F99*Parameters!$B$4+G99*Parameters!$B$5</f>
        <v>67.87717794</v>
      </c>
      <c r="I99" s="16">
        <v>1941.278744</v>
      </c>
    </row>
    <row r="100" ht="13.5" customHeight="1">
      <c r="A100" s="15">
        <f t="shared" si="1"/>
        <v>99</v>
      </c>
      <c r="B100" s="12" t="s">
        <v>74</v>
      </c>
      <c r="C100" s="12" t="s">
        <v>73</v>
      </c>
      <c r="D100" s="13">
        <v>99.9909099207507</v>
      </c>
      <c r="E100" s="13">
        <v>51.22766823</v>
      </c>
      <c r="F100" s="13">
        <v>76.4829196705527</v>
      </c>
      <c r="G100" s="13">
        <v>43.2651372401169</v>
      </c>
      <c r="H100" s="13">
        <f>D100*Parameters!$B$2+E100*Parameters!$B$3+F100*Parameters!$B$4+G100*Parameters!$B$5</f>
        <v>67.74165877</v>
      </c>
      <c r="I100" s="16">
        <v>3717.210531</v>
      </c>
    </row>
    <row r="101" ht="13.5" customHeight="1">
      <c r="A101" s="15">
        <f t="shared" si="1"/>
        <v>100</v>
      </c>
      <c r="B101" s="12" t="s">
        <v>370</v>
      </c>
      <c r="C101" s="12" t="s">
        <v>369</v>
      </c>
      <c r="D101" s="13">
        <v>97.7569891908688</v>
      </c>
      <c r="E101" s="13">
        <v>31.57187495</v>
      </c>
      <c r="F101" s="13">
        <v>49.8916208018772</v>
      </c>
      <c r="G101" s="13">
        <v>91.1630470775635</v>
      </c>
      <c r="H101" s="13">
        <f>D101*Parameters!$B$2+E101*Parameters!$B$3+F101*Parameters!$B$4+G101*Parameters!$B$5</f>
        <v>67.59588301</v>
      </c>
      <c r="I101" s="16">
        <v>68129.69604</v>
      </c>
    </row>
    <row r="102" ht="13.5" customHeight="1">
      <c r="A102" s="15">
        <f t="shared" si="1"/>
        <v>101</v>
      </c>
      <c r="B102" s="12" t="s">
        <v>330</v>
      </c>
      <c r="C102" s="12" t="s">
        <v>329</v>
      </c>
      <c r="D102" s="13">
        <v>97.1181002417162</v>
      </c>
      <c r="E102" s="13">
        <v>74.00138422</v>
      </c>
      <c r="F102" s="13">
        <v>54.5742112101539</v>
      </c>
      <c r="G102" s="13">
        <v>44.1657308259076</v>
      </c>
      <c r="H102" s="13">
        <f>D102*Parameters!$B$2+E102*Parameters!$B$3+F102*Parameters!$B$4+G102*Parameters!$B$5</f>
        <v>67.46485662</v>
      </c>
      <c r="I102" s="16">
        <v>3926.149009</v>
      </c>
    </row>
    <row r="103" ht="13.5" customHeight="1">
      <c r="A103" s="15">
        <f t="shared" si="1"/>
        <v>102</v>
      </c>
      <c r="B103" s="12" t="s">
        <v>386</v>
      </c>
      <c r="C103" s="12" t="s">
        <v>385</v>
      </c>
      <c r="D103" s="13">
        <v>56.3740308151645</v>
      </c>
      <c r="E103" s="13">
        <v>77.89672562</v>
      </c>
      <c r="F103" s="13">
        <v>56.2738186224025</v>
      </c>
      <c r="G103" s="13">
        <v>77.23560600587</v>
      </c>
      <c r="H103" s="13">
        <f>D103*Parameters!$B$2+E103*Parameters!$B$3+F103*Parameters!$B$4+G103*Parameters!$B$5</f>
        <v>66.94504527</v>
      </c>
      <c r="I103" s="16">
        <v>29245.21925</v>
      </c>
    </row>
    <row r="104" ht="13.5" customHeight="1">
      <c r="A104" s="15">
        <f t="shared" si="1"/>
        <v>103</v>
      </c>
      <c r="B104" s="12" t="s">
        <v>154</v>
      </c>
      <c r="C104" s="12" t="s">
        <v>153</v>
      </c>
      <c r="D104" s="13">
        <v>66.8648105808055</v>
      </c>
      <c r="E104" s="13">
        <v>71.08573753</v>
      </c>
      <c r="F104" s="13">
        <v>57.9042242186479</v>
      </c>
      <c r="G104" s="13">
        <v>71.0420238702059</v>
      </c>
      <c r="H104" s="13">
        <f>D104*Parameters!$B$2+E104*Parameters!$B$3+F104*Parameters!$B$4+G104*Parameters!$B$5</f>
        <v>66.72419905</v>
      </c>
      <c r="I104" s="16">
        <v>20078.13976</v>
      </c>
    </row>
    <row r="105" ht="13.5" customHeight="1">
      <c r="A105" s="15">
        <f t="shared" si="1"/>
        <v>104</v>
      </c>
      <c r="B105" s="12" t="s">
        <v>110</v>
      </c>
      <c r="C105" s="12" t="s">
        <v>109</v>
      </c>
      <c r="D105" s="13">
        <v>65.4533076428303</v>
      </c>
      <c r="E105" s="13">
        <v>75.93542761</v>
      </c>
      <c r="F105" s="13">
        <v>53.9027565756135</v>
      </c>
      <c r="G105" s="13">
        <v>65.814047744759</v>
      </c>
      <c r="H105" s="13">
        <f>D105*Parameters!$B$2+E105*Parameters!$B$3+F105*Parameters!$B$4+G105*Parameters!$B$5</f>
        <v>65.27638489</v>
      </c>
      <c r="I105" s="16">
        <v>14616.92879</v>
      </c>
    </row>
    <row r="106" ht="13.5" customHeight="1">
      <c r="A106" s="15">
        <f t="shared" si="1"/>
        <v>105</v>
      </c>
      <c r="B106" s="12" t="s">
        <v>48</v>
      </c>
      <c r="C106" s="12" t="s">
        <v>47</v>
      </c>
      <c r="D106" s="13">
        <v>90.2230047060617</v>
      </c>
      <c r="E106" s="13">
        <v>73.52958976</v>
      </c>
      <c r="F106" s="13">
        <v>46.5907958979981</v>
      </c>
      <c r="G106" s="13">
        <v>49.3486711195421</v>
      </c>
      <c r="H106" s="13">
        <f>D106*Parameters!$B$2+E106*Parameters!$B$3+F106*Parameters!$B$4+G106*Parameters!$B$5</f>
        <v>64.92301537</v>
      </c>
      <c r="I106" s="16">
        <v>5378.318</v>
      </c>
    </row>
    <row r="107" ht="13.5" customHeight="1">
      <c r="A107" s="15">
        <f t="shared" si="1"/>
        <v>106</v>
      </c>
      <c r="B107" s="12" t="s">
        <v>418</v>
      </c>
      <c r="C107" s="12" t="s">
        <v>417</v>
      </c>
      <c r="D107" s="13">
        <v>95.6601064959787</v>
      </c>
      <c r="E107" s="13">
        <v>65.93467027</v>
      </c>
      <c r="F107" s="13">
        <v>53.0858820526718</v>
      </c>
      <c r="G107" s="13">
        <v>44.4981589344584</v>
      </c>
      <c r="H107" s="13">
        <f>D107*Parameters!$B$2+E107*Parameters!$B$3+F107*Parameters!$B$4+G107*Parameters!$B$5</f>
        <v>64.79470444</v>
      </c>
      <c r="I107" s="16">
        <v>4006.205883</v>
      </c>
    </row>
    <row r="108" ht="13.5" customHeight="1">
      <c r="A108" s="15">
        <f t="shared" si="1"/>
        <v>107</v>
      </c>
      <c r="B108" s="12" t="s">
        <v>481</v>
      </c>
      <c r="C108" s="12" t="s">
        <v>403</v>
      </c>
      <c r="D108" s="13">
        <v>99.5552384149844</v>
      </c>
      <c r="E108" s="13">
        <v>68.41016893</v>
      </c>
      <c r="F108" s="13">
        <v>66.8761621688462</v>
      </c>
      <c r="G108" s="13">
        <v>23.5200537155043</v>
      </c>
      <c r="H108" s="13">
        <f>D108*Parameters!$B$2+E108*Parameters!$B$3+F108*Parameters!$B$4+G108*Parameters!$B$5</f>
        <v>64.59040581</v>
      </c>
      <c r="I108" s="16">
        <v>1120.77417</v>
      </c>
    </row>
    <row r="109" ht="13.5" customHeight="1">
      <c r="A109" s="15">
        <f t="shared" si="1"/>
        <v>108</v>
      </c>
      <c r="B109" s="12" t="s">
        <v>274</v>
      </c>
      <c r="C109" s="12" t="s">
        <v>273</v>
      </c>
      <c r="D109" s="13">
        <v>94.7358032814699</v>
      </c>
      <c r="E109" s="13">
        <v>53.13501766</v>
      </c>
      <c r="F109" s="13">
        <v>46.5430685745478</v>
      </c>
      <c r="G109" s="13">
        <v>62.4534172115496</v>
      </c>
      <c r="H109" s="13">
        <f>D109*Parameters!$B$2+E109*Parameters!$B$3+F109*Parameters!$B$4+G109*Parameters!$B$5</f>
        <v>64.21682668</v>
      </c>
      <c r="I109" s="16">
        <v>11918.80452</v>
      </c>
    </row>
    <row r="110" ht="13.5" customHeight="1">
      <c r="A110" s="15">
        <f t="shared" si="1"/>
        <v>109</v>
      </c>
      <c r="B110" s="12" t="s">
        <v>469</v>
      </c>
      <c r="C110" s="12" t="s">
        <v>141</v>
      </c>
      <c r="D110" s="13">
        <v>88.1306483789083</v>
      </c>
      <c r="E110" s="13">
        <v>69.89151005</v>
      </c>
      <c r="F110" s="13">
        <v>38.1316429276058</v>
      </c>
      <c r="G110" s="13">
        <v>58.1329037369711</v>
      </c>
      <c r="H110" s="13">
        <f>D110*Parameters!$B$2+E110*Parameters!$B$3+F110*Parameters!$B$4+G110*Parameters!$B$5</f>
        <v>63.57167627</v>
      </c>
      <c r="I110" s="16">
        <v>9168.454189</v>
      </c>
    </row>
    <row r="111" ht="13.5" customHeight="1">
      <c r="A111" s="15">
        <f t="shared" si="1"/>
        <v>110</v>
      </c>
      <c r="B111" s="12" t="s">
        <v>334</v>
      </c>
      <c r="C111" s="12" t="s">
        <v>333</v>
      </c>
      <c r="D111" s="13">
        <v>53.5722219767528</v>
      </c>
      <c r="E111" s="13">
        <v>71.65525436</v>
      </c>
      <c r="F111" s="13">
        <v>56.0166245949782</v>
      </c>
      <c r="G111" s="13">
        <v>73.0371249520314</v>
      </c>
      <c r="H111" s="13">
        <f>D111*Parameters!$B$2+E111*Parameters!$B$3+F111*Parameters!$B$4+G111*Parameters!$B$5</f>
        <v>63.57030647</v>
      </c>
      <c r="I111" s="16">
        <v>22663.99313</v>
      </c>
    </row>
    <row r="112" ht="13.5" customHeight="1">
      <c r="A112" s="15">
        <f t="shared" si="1"/>
        <v>111</v>
      </c>
      <c r="B112" s="12" t="s">
        <v>438</v>
      </c>
      <c r="C112" s="12" t="s">
        <v>437</v>
      </c>
      <c r="D112" s="13">
        <v>57.2251823544163</v>
      </c>
      <c r="E112" s="13">
        <v>60.40226956</v>
      </c>
      <c r="F112" s="13">
        <v>64.4571295595987</v>
      </c>
      <c r="G112" s="13">
        <v>70.1539717943013</v>
      </c>
      <c r="H112" s="13">
        <f>D112*Parameters!$B$2+E112*Parameters!$B$3+F112*Parameters!$B$4+G112*Parameters!$B$5</f>
        <v>63.05963832</v>
      </c>
      <c r="I112" s="16">
        <v>19024.12043</v>
      </c>
    </row>
    <row r="113" ht="13.5" customHeight="1">
      <c r="A113" s="15">
        <f t="shared" si="1"/>
        <v>112</v>
      </c>
      <c r="B113" s="12" t="s">
        <v>98</v>
      </c>
      <c r="C113" s="12" t="s">
        <v>97</v>
      </c>
      <c r="D113" s="13">
        <v>94.930690706974</v>
      </c>
      <c r="E113" s="13">
        <v>74.89192553</v>
      </c>
      <c r="F113" s="13">
        <v>47.7742708473822</v>
      </c>
      <c r="G113" s="13">
        <v>34.503542378695</v>
      </c>
      <c r="H113" s="13">
        <f>D113*Parameters!$B$2+E113*Parameters!$B$3+F113*Parameters!$B$4+G113*Parameters!$B$5</f>
        <v>63.02510737</v>
      </c>
      <c r="I113" s="16">
        <v>2183.556824</v>
      </c>
    </row>
    <row r="114" ht="13.5" customHeight="1">
      <c r="A114" s="15">
        <f t="shared" si="1"/>
        <v>113</v>
      </c>
      <c r="B114" s="12" t="s">
        <v>68</v>
      </c>
      <c r="C114" s="12" t="s">
        <v>67</v>
      </c>
      <c r="D114" s="13">
        <v>97.4339915770047</v>
      </c>
      <c r="E114" s="13">
        <v>46.54717042</v>
      </c>
      <c r="F114" s="13">
        <v>54.2175135649105</v>
      </c>
      <c r="G114" s="13">
        <v>51.9287027284683</v>
      </c>
      <c r="H114" s="13">
        <f>D114*Parameters!$B$2+E114*Parameters!$B$3+F114*Parameters!$B$4+G114*Parameters!$B$5</f>
        <v>62.53184457</v>
      </c>
      <c r="I114" s="16">
        <v>6290.492945</v>
      </c>
    </row>
    <row r="115" ht="13.5" customHeight="1">
      <c r="A115" s="15">
        <f t="shared" si="1"/>
        <v>114</v>
      </c>
      <c r="B115" s="12" t="s">
        <v>468</v>
      </c>
      <c r="C115" s="12" t="s">
        <v>119</v>
      </c>
      <c r="D115" s="13">
        <v>84.2394686825049</v>
      </c>
      <c r="E115" s="13">
        <v>67.55411794</v>
      </c>
      <c r="F115" s="13">
        <v>85.4847996742268</v>
      </c>
      <c r="G115" s="13">
        <v>11.9196096515616</v>
      </c>
      <c r="H115" s="13">
        <f>D115*Parameters!$B$2+E115*Parameters!$B$3+F115*Parameters!$B$4+G115*Parameters!$B$5</f>
        <v>62.29949899</v>
      </c>
      <c r="I115" s="16">
        <v>554.11761</v>
      </c>
    </row>
    <row r="116" ht="13.5" customHeight="1">
      <c r="A116" s="15">
        <f t="shared" si="1"/>
        <v>115</v>
      </c>
      <c r="B116" s="12" t="s">
        <v>124</v>
      </c>
      <c r="C116" s="12" t="s">
        <v>123</v>
      </c>
      <c r="D116" s="13">
        <v>87.8937730069265</v>
      </c>
      <c r="E116" s="13">
        <v>44.17790004</v>
      </c>
      <c r="F116" s="13">
        <v>50.3476849029474</v>
      </c>
      <c r="G116" s="13">
        <v>66.2980810507489</v>
      </c>
      <c r="H116" s="13">
        <f>D116*Parameters!$B$2+E116*Parameters!$B$3+F116*Parameters!$B$4+G116*Parameters!$B$5</f>
        <v>62.17935975</v>
      </c>
      <c r="I116" s="16">
        <v>15052.91499</v>
      </c>
    </row>
    <row r="117" ht="13.5" customHeight="1">
      <c r="A117" s="15">
        <f t="shared" si="1"/>
        <v>116</v>
      </c>
      <c r="B117" s="12" t="s">
        <v>184</v>
      </c>
      <c r="C117" s="12" t="s">
        <v>183</v>
      </c>
      <c r="D117" s="13">
        <v>58.6995854495151</v>
      </c>
      <c r="E117" s="13">
        <v>68.8122791</v>
      </c>
      <c r="F117" s="13">
        <v>48.967701428919</v>
      </c>
      <c r="G117" s="13">
        <v>72.1647549786591</v>
      </c>
      <c r="H117" s="13">
        <f>D117*Parameters!$B$2+E117*Parameters!$B$3+F117*Parameters!$B$4+G117*Parameters!$B$5</f>
        <v>62.16108024</v>
      </c>
      <c r="I117" s="16">
        <v>21494.68561</v>
      </c>
    </row>
    <row r="118" ht="13.5" customHeight="1">
      <c r="A118" s="15">
        <f t="shared" si="1"/>
        <v>117</v>
      </c>
      <c r="B118" s="12" t="s">
        <v>270</v>
      </c>
      <c r="C118" s="12" t="s">
        <v>269</v>
      </c>
      <c r="D118" s="13">
        <v>85.4006858671875</v>
      </c>
      <c r="E118" s="13">
        <v>35.29289871</v>
      </c>
      <c r="F118" s="13">
        <v>46.7157524448601</v>
      </c>
      <c r="G118" s="13">
        <v>79.9577832860971</v>
      </c>
      <c r="H118" s="13">
        <f>D118*Parameters!$B$2+E118*Parameters!$B$3+F118*Parameters!$B$4+G118*Parameters!$B$5</f>
        <v>61.84178008</v>
      </c>
      <c r="I118" s="16">
        <v>34501.78927</v>
      </c>
    </row>
    <row r="119" ht="13.5" customHeight="1">
      <c r="A119" s="15">
        <f t="shared" si="1"/>
        <v>118</v>
      </c>
      <c r="B119" s="12" t="s">
        <v>130</v>
      </c>
      <c r="C119" s="12" t="s">
        <v>129</v>
      </c>
      <c r="D119" s="13">
        <v>98.3904638049146</v>
      </c>
      <c r="E119" s="13">
        <v>29.52856328</v>
      </c>
      <c r="F119" s="13">
        <v>63.4771878288581</v>
      </c>
      <c r="G119" s="13">
        <v>54.5624191137015</v>
      </c>
      <c r="H119" s="13">
        <f>D119*Parameters!$B$2+E119*Parameters!$B$3+F119*Parameters!$B$4+G119*Parameters!$B$5</f>
        <v>61.48965851</v>
      </c>
      <c r="I119" s="16">
        <v>7381.39774</v>
      </c>
    </row>
    <row r="120" ht="13.5" customHeight="1">
      <c r="A120" s="15">
        <f t="shared" si="1"/>
        <v>119</v>
      </c>
      <c r="B120" s="12" t="s">
        <v>304</v>
      </c>
      <c r="C120" s="12" t="s">
        <v>303</v>
      </c>
      <c r="D120" s="13">
        <v>97.116678392698</v>
      </c>
      <c r="E120" s="13">
        <v>34.67616035</v>
      </c>
      <c r="F120" s="13">
        <v>100.0</v>
      </c>
      <c r="G120" s="13">
        <v>12.9273989784097</v>
      </c>
      <c r="H120" s="13">
        <f>D120*Parameters!$B$2+E120*Parameters!$B$3+F120*Parameters!$B$4+G120*Parameters!$B$5</f>
        <v>61.18005943</v>
      </c>
      <c r="I120" s="16">
        <v>589.0856433</v>
      </c>
    </row>
    <row r="121" ht="13.5" customHeight="1">
      <c r="A121" s="15">
        <f t="shared" si="1"/>
        <v>120</v>
      </c>
      <c r="B121" s="12" t="s">
        <v>192</v>
      </c>
      <c r="C121" s="12" t="s">
        <v>191</v>
      </c>
      <c r="D121" s="13">
        <v>95.8858249093009</v>
      </c>
      <c r="E121" s="13">
        <v>55.4433265</v>
      </c>
      <c r="F121" s="13">
        <v>45.0832694367956</v>
      </c>
      <c r="G121" s="13">
        <v>46.6456905591723</v>
      </c>
      <c r="H121" s="13">
        <f>D121*Parameters!$B$2+E121*Parameters!$B$3+F121*Parameters!$B$4+G121*Parameters!$B$5</f>
        <v>60.76452785</v>
      </c>
      <c r="I121" s="16">
        <v>4564.213785</v>
      </c>
    </row>
    <row r="122" ht="13.5" customHeight="1">
      <c r="A122" s="15">
        <f t="shared" si="1"/>
        <v>121</v>
      </c>
      <c r="B122" s="12" t="s">
        <v>72</v>
      </c>
      <c r="C122" s="12" t="s">
        <v>71</v>
      </c>
      <c r="D122" s="13">
        <v>100.0</v>
      </c>
      <c r="E122" s="13">
        <v>0.0</v>
      </c>
      <c r="F122" s="13">
        <v>42.2811715330861</v>
      </c>
      <c r="G122" s="13">
        <v>100.0</v>
      </c>
      <c r="H122" s="13">
        <f>D122*Parameters!$B$2+E122*Parameters!$B$3+F122*Parameters!$B$4+G122*Parameters!$B$5</f>
        <v>60.57029288</v>
      </c>
      <c r="I122" s="16">
        <v>116513.5366</v>
      </c>
    </row>
    <row r="123" ht="13.5" customHeight="1">
      <c r="A123" s="15">
        <f t="shared" si="1"/>
        <v>122</v>
      </c>
      <c r="B123" s="12" t="s">
        <v>322</v>
      </c>
      <c r="C123" s="12" t="s">
        <v>321</v>
      </c>
      <c r="D123" s="13">
        <v>85.4488189400868</v>
      </c>
      <c r="E123" s="13">
        <v>42.29335135</v>
      </c>
      <c r="F123" s="13">
        <v>45.6178835131961</v>
      </c>
      <c r="G123" s="13">
        <v>68.4198023054372</v>
      </c>
      <c r="H123" s="13">
        <f>D123*Parameters!$B$2+E123*Parameters!$B$3+F123*Parameters!$B$4+G123*Parameters!$B$5</f>
        <v>60.44496403</v>
      </c>
      <c r="I123" s="16">
        <v>17122.71688</v>
      </c>
    </row>
    <row r="124" ht="13.5" customHeight="1">
      <c r="A124" s="15">
        <f t="shared" si="1"/>
        <v>123</v>
      </c>
      <c r="B124" s="12" t="s">
        <v>475</v>
      </c>
      <c r="C124" s="12" t="s">
        <v>277</v>
      </c>
      <c r="D124" s="13">
        <v>94.9201214960753</v>
      </c>
      <c r="E124" s="13">
        <v>64.70708252</v>
      </c>
      <c r="F124" s="13">
        <v>37.5882466900028</v>
      </c>
      <c r="G124" s="13">
        <v>43.8669848102011</v>
      </c>
      <c r="H124" s="13">
        <f>D124*Parameters!$B$2+E124*Parameters!$B$3+F124*Parameters!$B$4+G124*Parameters!$B$5</f>
        <v>60.27060888</v>
      </c>
      <c r="I124" s="16">
        <v>3855.569404</v>
      </c>
    </row>
    <row r="125" ht="13.5" customHeight="1">
      <c r="A125" s="15">
        <f t="shared" si="1"/>
        <v>124</v>
      </c>
      <c r="B125" s="12" t="s">
        <v>228</v>
      </c>
      <c r="C125" s="12" t="s">
        <v>227</v>
      </c>
      <c r="D125" s="13">
        <v>76.0100501455261</v>
      </c>
      <c r="E125" s="13">
        <v>68.69838813</v>
      </c>
      <c r="F125" s="13">
        <v>42.3950887820361</v>
      </c>
      <c r="G125" s="13">
        <v>46.1951469702589</v>
      </c>
      <c r="H125" s="13">
        <f>D125*Parameters!$B$2+E125*Parameters!$B$3+F125*Parameters!$B$4+G125*Parameters!$B$5</f>
        <v>58.32466851</v>
      </c>
      <c r="I125" s="16">
        <v>4441.039749</v>
      </c>
    </row>
    <row r="126" ht="13.5" customHeight="1">
      <c r="A126" s="15">
        <f t="shared" si="1"/>
        <v>125</v>
      </c>
      <c r="B126" s="12" t="s">
        <v>388</v>
      </c>
      <c r="C126" s="12" t="s">
        <v>387</v>
      </c>
      <c r="D126" s="13">
        <v>87.9407507205175</v>
      </c>
      <c r="E126" s="13">
        <v>45.6304102</v>
      </c>
      <c r="F126" s="13">
        <v>50.4880541008062</v>
      </c>
      <c r="G126" s="13">
        <v>45.2712123945854</v>
      </c>
      <c r="H126" s="13">
        <f>D126*Parameters!$B$2+E126*Parameters!$B$3+F126*Parameters!$B$4+G126*Parameters!$B$5</f>
        <v>57.33260685</v>
      </c>
      <c r="I126" s="16">
        <v>4198.745137</v>
      </c>
    </row>
    <row r="127" ht="13.5" customHeight="1">
      <c r="A127" s="15">
        <f t="shared" si="1"/>
        <v>126</v>
      </c>
      <c r="B127" s="12" t="s">
        <v>224</v>
      </c>
      <c r="C127" s="12" t="s">
        <v>223</v>
      </c>
      <c r="D127" s="13">
        <v>90.9579608241507</v>
      </c>
      <c r="E127" s="13">
        <v>49.13925263</v>
      </c>
      <c r="F127" s="13">
        <v>37.5991660155646</v>
      </c>
      <c r="G127" s="13">
        <v>51.4126488178905</v>
      </c>
      <c r="H127" s="13">
        <f>D127*Parameters!$B$2+E127*Parameters!$B$3+F127*Parameters!$B$4+G127*Parameters!$B$5</f>
        <v>57.27725707</v>
      </c>
      <c r="I127" s="16">
        <v>6096.432703</v>
      </c>
    </row>
    <row r="128" ht="13.5" customHeight="1">
      <c r="A128" s="15">
        <f t="shared" si="1"/>
        <v>127</v>
      </c>
      <c r="B128" s="12" t="s">
        <v>104</v>
      </c>
      <c r="C128" s="12" t="s">
        <v>103</v>
      </c>
      <c r="D128" s="13">
        <v>96.2941840839471</v>
      </c>
      <c r="E128" s="13">
        <v>0.0</v>
      </c>
      <c r="F128" s="13">
        <v>36.3672966900065</v>
      </c>
      <c r="G128" s="13">
        <v>94.6862503456157</v>
      </c>
      <c r="H128" s="13">
        <f>D128*Parameters!$B$2+E128*Parameters!$B$3+F128*Parameters!$B$4+G128*Parameters!$B$5</f>
        <v>56.83693278</v>
      </c>
      <c r="I128" s="16">
        <v>84381.47314</v>
      </c>
    </row>
    <row r="129" ht="13.5" customHeight="1">
      <c r="A129" s="15">
        <f t="shared" si="1"/>
        <v>128</v>
      </c>
      <c r="B129" s="12" t="s">
        <v>294</v>
      </c>
      <c r="C129" s="12" t="s">
        <v>293</v>
      </c>
      <c r="D129" s="13">
        <v>98.8810483522257</v>
      </c>
      <c r="E129" s="13">
        <v>65.05196793</v>
      </c>
      <c r="F129" s="13">
        <v>38.8202808656692</v>
      </c>
      <c r="G129" s="13">
        <v>24.3674719705307</v>
      </c>
      <c r="H129" s="13">
        <f>D129*Parameters!$B$2+E129*Parameters!$B$3+F129*Parameters!$B$4+G129*Parameters!$B$5</f>
        <v>56.78019228</v>
      </c>
      <c r="I129" s="16">
        <v>1179.954993</v>
      </c>
    </row>
    <row r="130" ht="13.5" customHeight="1">
      <c r="A130" s="15">
        <f t="shared" si="1"/>
        <v>129</v>
      </c>
      <c r="B130" s="12" t="s">
        <v>158</v>
      </c>
      <c r="C130" s="12" t="s">
        <v>157</v>
      </c>
      <c r="D130" s="13">
        <v>96.3794897415389</v>
      </c>
      <c r="E130" s="13">
        <v>58.44851223</v>
      </c>
      <c r="F130" s="13">
        <v>51.5770239048462</v>
      </c>
      <c r="G130" s="13">
        <v>19.6016725788483</v>
      </c>
      <c r="H130" s="13">
        <f>D130*Parameters!$B$2+E130*Parameters!$B$3+F130*Parameters!$B$4+G130*Parameters!$B$5</f>
        <v>56.50167461</v>
      </c>
      <c r="I130" s="16">
        <v>883.4585886</v>
      </c>
    </row>
    <row r="131" ht="13.5" customHeight="1">
      <c r="A131" s="15">
        <f t="shared" si="1"/>
        <v>130</v>
      </c>
      <c r="B131" s="12" t="s">
        <v>286</v>
      </c>
      <c r="C131" s="12" t="s">
        <v>285</v>
      </c>
      <c r="D131" s="13">
        <v>77.5506855191892</v>
      </c>
      <c r="E131" s="13">
        <v>61.65973261</v>
      </c>
      <c r="F131" s="13">
        <v>44.1237368010451</v>
      </c>
      <c r="G131" s="13">
        <v>42.3493889873603</v>
      </c>
      <c r="H131" s="13">
        <f>D131*Parameters!$B$2+E131*Parameters!$B$3+F131*Parameters!$B$4+G131*Parameters!$B$5</f>
        <v>56.42088598</v>
      </c>
      <c r="I131" s="16">
        <v>3516.154053</v>
      </c>
    </row>
    <row r="132" ht="13.5" customHeight="1">
      <c r="A132" s="15">
        <f t="shared" si="1"/>
        <v>131</v>
      </c>
      <c r="B132" s="12" t="s">
        <v>254</v>
      </c>
      <c r="C132" s="12" t="s">
        <v>253</v>
      </c>
      <c r="D132" s="13">
        <v>28.2308626716045</v>
      </c>
      <c r="E132" s="13">
        <v>73.61796797</v>
      </c>
      <c r="F132" s="13">
        <v>53.3196219239586</v>
      </c>
      <c r="G132" s="13">
        <v>70.3101700144417</v>
      </c>
      <c r="H132" s="13">
        <f>D132*Parameters!$B$2+E132*Parameters!$B$3+F132*Parameters!$B$4+G132*Parameters!$B$5</f>
        <v>56.36965565</v>
      </c>
      <c r="I132" s="16">
        <v>19205.41523</v>
      </c>
    </row>
    <row r="133" ht="13.5" customHeight="1">
      <c r="A133" s="15">
        <f t="shared" si="1"/>
        <v>132</v>
      </c>
      <c r="B133" s="12" t="s">
        <v>344</v>
      </c>
      <c r="C133" s="12" t="s">
        <v>343</v>
      </c>
      <c r="D133" s="13">
        <v>96.3761647708198</v>
      </c>
      <c r="E133" s="13">
        <v>55.46710191</v>
      </c>
      <c r="F133" s="13">
        <v>50.2326309607348</v>
      </c>
      <c r="G133" s="13">
        <v>22.3381773609743</v>
      </c>
      <c r="H133" s="13">
        <f>D133*Parameters!$B$2+E133*Parameters!$B$3+F133*Parameters!$B$4+G133*Parameters!$B$5</f>
        <v>56.10351875</v>
      </c>
      <c r="I133" s="16">
        <v>1043.159615</v>
      </c>
    </row>
    <row r="134" ht="13.5" customHeight="1">
      <c r="A134" s="15">
        <f t="shared" si="1"/>
        <v>133</v>
      </c>
      <c r="B134" s="12" t="s">
        <v>170</v>
      </c>
      <c r="C134" s="12" t="s">
        <v>169</v>
      </c>
      <c r="D134" s="13">
        <v>92.0566112066264</v>
      </c>
      <c r="E134" s="13">
        <v>10.40619326</v>
      </c>
      <c r="F134" s="13">
        <v>48.0871593008058</v>
      </c>
      <c r="G134" s="13">
        <v>71.6606119420972</v>
      </c>
      <c r="H134" s="13">
        <f>D134*Parameters!$B$2+E134*Parameters!$B$3+F134*Parameters!$B$4+G134*Parameters!$B$5</f>
        <v>55.55264393</v>
      </c>
      <c r="I134" s="16">
        <v>20846.65141</v>
      </c>
    </row>
    <row r="135" ht="13.5" customHeight="1">
      <c r="A135" s="15">
        <f t="shared" si="1"/>
        <v>134</v>
      </c>
      <c r="B135" s="12" t="s">
        <v>62</v>
      </c>
      <c r="C135" s="12" t="s">
        <v>61</v>
      </c>
      <c r="D135" s="13">
        <v>91.1284004109668</v>
      </c>
      <c r="E135" s="13">
        <v>8.298654213</v>
      </c>
      <c r="F135" s="13">
        <v>49.7838915543377</v>
      </c>
      <c r="G135" s="13">
        <v>72.8599945001148</v>
      </c>
      <c r="H135" s="13">
        <f>D135*Parameters!$B$2+E135*Parameters!$B$3+F135*Parameters!$B$4+G135*Parameters!$B$5</f>
        <v>55.51773517</v>
      </c>
      <c r="I135" s="16">
        <v>22421.53336</v>
      </c>
    </row>
    <row r="136" ht="13.5" customHeight="1">
      <c r="A136" s="15">
        <f t="shared" si="1"/>
        <v>135</v>
      </c>
      <c r="B136" s="12" t="s">
        <v>457</v>
      </c>
      <c r="C136" s="12" t="s">
        <v>407</v>
      </c>
      <c r="D136" s="13">
        <v>99.0425982812102</v>
      </c>
      <c r="E136" s="13">
        <v>0.0</v>
      </c>
      <c r="F136" s="13">
        <v>41.608835550613</v>
      </c>
      <c r="G136" s="13">
        <v>79.7010988837239</v>
      </c>
      <c r="H136" s="13">
        <f>D136*Parameters!$B$2+E136*Parameters!$B$3+F136*Parameters!$B$4+G136*Parameters!$B$5</f>
        <v>55.08813318</v>
      </c>
      <c r="I136" s="16">
        <v>33968.20322</v>
      </c>
    </row>
    <row r="137" ht="13.5" customHeight="1">
      <c r="A137" s="15">
        <f t="shared" si="1"/>
        <v>136</v>
      </c>
      <c r="B137" s="12" t="s">
        <v>262</v>
      </c>
      <c r="C137" s="12" t="s">
        <v>261</v>
      </c>
      <c r="D137" s="13">
        <v>99.2554651398696</v>
      </c>
      <c r="E137" s="13">
        <v>53.42233894</v>
      </c>
      <c r="F137" s="13">
        <v>55.0787642318862</v>
      </c>
      <c r="G137" s="13">
        <v>11.8551065528347</v>
      </c>
      <c r="H137" s="13">
        <f>D137*Parameters!$B$2+E137*Parameters!$B$3+F137*Parameters!$B$4+G137*Parameters!$B$5</f>
        <v>54.90291872</v>
      </c>
      <c r="I137" s="16">
        <v>551.9515235</v>
      </c>
    </row>
    <row r="138" ht="13.5" customHeight="1">
      <c r="A138" s="15">
        <f t="shared" si="1"/>
        <v>137</v>
      </c>
      <c r="B138" s="12" t="s">
        <v>148</v>
      </c>
      <c r="C138" s="12" t="s">
        <v>147</v>
      </c>
      <c r="D138" s="13">
        <v>76.8653923060912</v>
      </c>
      <c r="E138" s="13">
        <v>52.03179573</v>
      </c>
      <c r="F138" s="13">
        <v>43.6756485305457</v>
      </c>
      <c r="G138" s="13">
        <v>46.6901725020573</v>
      </c>
      <c r="H138" s="13">
        <f>D138*Parameters!$B$2+E138*Parameters!$B$3+F138*Parameters!$B$4+G138*Parameters!$B$5</f>
        <v>54.81575227</v>
      </c>
      <c r="I138" s="16">
        <v>4576.558466</v>
      </c>
    </row>
    <row r="139" ht="13.5" customHeight="1">
      <c r="A139" s="15">
        <f t="shared" si="1"/>
        <v>138</v>
      </c>
      <c r="B139" s="12" t="s">
        <v>108</v>
      </c>
      <c r="C139" s="12" t="s">
        <v>107</v>
      </c>
      <c r="D139" s="13">
        <v>96.6671662645079</v>
      </c>
      <c r="E139" s="13">
        <v>0.0</v>
      </c>
      <c r="F139" s="13">
        <v>100.0</v>
      </c>
      <c r="G139" s="13">
        <v>19.0816800692451</v>
      </c>
      <c r="H139" s="13">
        <f>D139*Parameters!$B$2+E139*Parameters!$B$3+F139*Parameters!$B$4+G139*Parameters!$B$5</f>
        <v>53.93721158</v>
      </c>
      <c r="I139" s="16">
        <v>855.9993532</v>
      </c>
    </row>
    <row r="140" ht="13.5" customHeight="1">
      <c r="A140" s="15">
        <f t="shared" si="1"/>
        <v>139</v>
      </c>
      <c r="B140" s="12" t="s">
        <v>164</v>
      </c>
      <c r="C140" s="12" t="s">
        <v>163</v>
      </c>
      <c r="D140" s="13">
        <v>98.487278880388</v>
      </c>
      <c r="E140" s="13">
        <v>20.47154609</v>
      </c>
      <c r="F140" s="13">
        <v>45.77572570825</v>
      </c>
      <c r="G140" s="13">
        <v>50.9712647880746</v>
      </c>
      <c r="H140" s="13">
        <f>D140*Parameters!$B$2+E140*Parameters!$B$3+F140*Parameters!$B$4+G140*Parameters!$B$5</f>
        <v>53.92645387</v>
      </c>
      <c r="I140" s="16">
        <v>5935.208957</v>
      </c>
    </row>
    <row r="141" ht="13.5" customHeight="1">
      <c r="A141" s="15">
        <f t="shared" si="1"/>
        <v>140</v>
      </c>
      <c r="B141" s="12" t="s">
        <v>390</v>
      </c>
      <c r="C141" s="12" t="s">
        <v>389</v>
      </c>
      <c r="D141" s="13">
        <v>98.9186553097871</v>
      </c>
      <c r="E141" s="13">
        <v>39.54272982</v>
      </c>
      <c r="F141" s="13">
        <v>62.9783195179645</v>
      </c>
      <c r="G141" s="13">
        <v>12.6256178027451</v>
      </c>
      <c r="H141" s="13">
        <f>D141*Parameters!$B$2+E141*Parameters!$B$3+F141*Parameters!$B$4+G141*Parameters!$B$5</f>
        <v>53.51633061</v>
      </c>
      <c r="I141" s="16">
        <v>578.3891602</v>
      </c>
    </row>
    <row r="142" ht="13.5" customHeight="1">
      <c r="A142" s="15">
        <f t="shared" si="1"/>
        <v>141</v>
      </c>
      <c r="B142" s="12" t="s">
        <v>256</v>
      </c>
      <c r="C142" s="12" t="s">
        <v>255</v>
      </c>
      <c r="D142" s="13">
        <v>10.8847233152592</v>
      </c>
      <c r="E142" s="13">
        <v>60.12330615</v>
      </c>
      <c r="F142" s="13">
        <v>44.1548008227119</v>
      </c>
      <c r="G142" s="13">
        <v>98.1521739485549</v>
      </c>
      <c r="H142" s="13">
        <f>D142*Parameters!$B$2+E142*Parameters!$B$3+F142*Parameters!$B$4+G142*Parameters!$B$5</f>
        <v>53.32875106</v>
      </c>
      <c r="I142" s="16">
        <v>104147.1113</v>
      </c>
    </row>
    <row r="143" ht="13.5" customHeight="1">
      <c r="A143" s="15">
        <f t="shared" si="1"/>
        <v>142</v>
      </c>
      <c r="B143" s="12" t="s">
        <v>232</v>
      </c>
      <c r="C143" s="12" t="s">
        <v>231</v>
      </c>
      <c r="D143" s="13">
        <v>78.6369297786387</v>
      </c>
      <c r="E143" s="13">
        <v>55.55711415</v>
      </c>
      <c r="F143" s="13">
        <v>46.4846711596842</v>
      </c>
      <c r="G143" s="13">
        <v>31.8523813750564</v>
      </c>
      <c r="H143" s="13">
        <f>D143*Parameters!$B$2+E143*Parameters!$B$3+F143*Parameters!$B$4+G143*Parameters!$B$5</f>
        <v>53.13277412</v>
      </c>
      <c r="I143" s="16">
        <v>1858.8765</v>
      </c>
    </row>
    <row r="144" ht="13.5" customHeight="1">
      <c r="A144" s="15">
        <f t="shared" si="1"/>
        <v>143</v>
      </c>
      <c r="B144" s="12" t="s">
        <v>348</v>
      </c>
      <c r="C144" s="12" t="s">
        <v>347</v>
      </c>
      <c r="D144" s="13">
        <v>94.7445503737997</v>
      </c>
      <c r="E144" s="13">
        <v>0.0</v>
      </c>
      <c r="F144" s="13">
        <v>43.5053757948904</v>
      </c>
      <c r="G144" s="13">
        <v>72.3154244716037</v>
      </c>
      <c r="H144" s="13">
        <f>D144*Parameters!$B$2+E144*Parameters!$B$3+F144*Parameters!$B$4+G144*Parameters!$B$5</f>
        <v>52.64133766</v>
      </c>
      <c r="I144" s="16">
        <v>21692.24064</v>
      </c>
    </row>
    <row r="145" ht="13.5" customHeight="1">
      <c r="A145" s="15">
        <f t="shared" si="1"/>
        <v>144</v>
      </c>
      <c r="B145" s="12" t="s">
        <v>132</v>
      </c>
      <c r="C145" s="12" t="s">
        <v>131</v>
      </c>
      <c r="D145" s="13">
        <v>76.9522884480749</v>
      </c>
      <c r="E145" s="13">
        <v>11.17006731</v>
      </c>
      <c r="F145" s="13">
        <v>43.1214184157266</v>
      </c>
      <c r="G145" s="13">
        <v>79.1034257690146</v>
      </c>
      <c r="H145" s="13">
        <f>D145*Parameters!$B$2+E145*Parameters!$B$3+F145*Parameters!$B$4+G145*Parameters!$B$5</f>
        <v>52.58679999</v>
      </c>
      <c r="I145" s="16">
        <v>32757.54102</v>
      </c>
    </row>
    <row r="146" ht="13.5" customHeight="1">
      <c r="A146" s="15">
        <f t="shared" si="1"/>
        <v>145</v>
      </c>
      <c r="B146" s="12" t="s">
        <v>428</v>
      </c>
      <c r="C146" s="12" t="s">
        <v>427</v>
      </c>
      <c r="D146" s="13">
        <v>97.1135760216955</v>
      </c>
      <c r="E146" s="13">
        <v>37.91375362</v>
      </c>
      <c r="F146" s="13">
        <v>51.0338422192264</v>
      </c>
      <c r="G146" s="13">
        <v>21.4116262710083</v>
      </c>
      <c r="H146" s="13">
        <f>D146*Parameters!$B$2+E146*Parameters!$B$3+F146*Parameters!$B$4+G146*Parameters!$B$5</f>
        <v>51.86819953</v>
      </c>
      <c r="I146" s="16">
        <v>986.0901454</v>
      </c>
    </row>
    <row r="147" ht="13.5" customHeight="1">
      <c r="A147" s="15">
        <f t="shared" si="1"/>
        <v>146</v>
      </c>
      <c r="B147" s="12" t="s">
        <v>50</v>
      </c>
      <c r="C147" s="12" t="s">
        <v>49</v>
      </c>
      <c r="D147" s="13">
        <v>83.3422036183714</v>
      </c>
      <c r="E147" s="13">
        <v>8.125138429</v>
      </c>
      <c r="F147" s="13">
        <v>35.6361329294362</v>
      </c>
      <c r="G147" s="13">
        <v>79.6869121442737</v>
      </c>
      <c r="H147" s="13">
        <f>D147*Parameters!$B$2+E147*Parameters!$B$3+F147*Parameters!$B$4+G147*Parameters!$B$5</f>
        <v>51.69759678</v>
      </c>
      <c r="I147" s="16">
        <v>33938.95418</v>
      </c>
    </row>
    <row r="148" ht="13.5" customHeight="1">
      <c r="A148" s="15">
        <f t="shared" si="1"/>
        <v>147</v>
      </c>
      <c r="B148" s="12" t="s">
        <v>302</v>
      </c>
      <c r="C148" s="12" t="s">
        <v>301</v>
      </c>
      <c r="D148" s="13">
        <v>86.9121915875451</v>
      </c>
      <c r="E148" s="13">
        <v>39.05985769</v>
      </c>
      <c r="F148" s="13">
        <v>42.4754148268113</v>
      </c>
      <c r="G148" s="13">
        <v>35.2896936211602</v>
      </c>
      <c r="H148" s="13">
        <f>D148*Parameters!$B$2+E148*Parameters!$B$3+F148*Parameters!$B$4+G148*Parameters!$B$5</f>
        <v>50.93428943</v>
      </c>
      <c r="I148" s="16">
        <v>2290.31992</v>
      </c>
    </row>
    <row r="149" ht="13.5" customHeight="1">
      <c r="A149" s="15">
        <f t="shared" si="1"/>
        <v>148</v>
      </c>
      <c r="B149" s="12" t="s">
        <v>290</v>
      </c>
      <c r="C149" s="12" t="s">
        <v>289</v>
      </c>
      <c r="D149" s="13">
        <v>63.5162402410128</v>
      </c>
      <c r="E149" s="13">
        <v>43.80683495</v>
      </c>
      <c r="F149" s="13">
        <v>51.3761009362791</v>
      </c>
      <c r="G149" s="13">
        <v>44.6054926017113</v>
      </c>
      <c r="H149" s="13">
        <f>D149*Parameters!$B$2+E149*Parameters!$B$3+F149*Parameters!$B$4+G149*Parameters!$B$5</f>
        <v>50.82616718</v>
      </c>
      <c r="I149" s="16">
        <v>4032.401507</v>
      </c>
    </row>
    <row r="150" ht="13.5" customHeight="1">
      <c r="A150" s="15">
        <f t="shared" si="1"/>
        <v>149</v>
      </c>
      <c r="B150" s="12" t="s">
        <v>44</v>
      </c>
      <c r="C150" s="12" t="s">
        <v>43</v>
      </c>
      <c r="D150" s="13">
        <v>92.8370916641414</v>
      </c>
      <c r="E150" s="13">
        <v>0.0</v>
      </c>
      <c r="F150" s="13">
        <v>40.1734079755723</v>
      </c>
      <c r="G150" s="13">
        <v>69.5190059510754</v>
      </c>
      <c r="H150" s="13">
        <f>D150*Parameters!$B$2+E150*Parameters!$B$3+F150*Parameters!$B$4+G150*Parameters!$B$5</f>
        <v>50.6323764</v>
      </c>
      <c r="I150" s="16">
        <v>18304.58368</v>
      </c>
    </row>
    <row r="151" ht="13.5" customHeight="1">
      <c r="A151" s="15">
        <f t="shared" si="1"/>
        <v>150</v>
      </c>
      <c r="B151" s="12" t="s">
        <v>412</v>
      </c>
      <c r="C151" s="12" t="s">
        <v>411</v>
      </c>
      <c r="D151" s="13">
        <v>82.3159150832008</v>
      </c>
      <c r="E151" s="13">
        <v>59.24646791</v>
      </c>
      <c r="F151" s="13">
        <v>36.5908165073104</v>
      </c>
      <c r="G151" s="13">
        <v>22.505567001131</v>
      </c>
      <c r="H151" s="13">
        <f>D151*Parameters!$B$2+E151*Parameters!$B$3+F151*Parameters!$B$4+G151*Parameters!$B$5</f>
        <v>50.16469163</v>
      </c>
      <c r="I151" s="16">
        <v>1053.816538</v>
      </c>
    </row>
    <row r="152" ht="13.5" customHeight="1">
      <c r="A152" s="15">
        <f t="shared" si="1"/>
        <v>151</v>
      </c>
      <c r="B152" s="12" t="s">
        <v>477</v>
      </c>
      <c r="C152" s="12" t="s">
        <v>353</v>
      </c>
      <c r="D152" s="13">
        <v>98.4719273683925</v>
      </c>
      <c r="E152" s="13">
        <v>0.0</v>
      </c>
      <c r="F152" s="13">
        <v>43.2480054451618</v>
      </c>
      <c r="G152" s="13">
        <v>58.6922215351056</v>
      </c>
      <c r="H152" s="13">
        <f>D152*Parameters!$B$2+E152*Parameters!$B$3+F152*Parameters!$B$4+G152*Parameters!$B$5</f>
        <v>50.10303859</v>
      </c>
      <c r="I152" s="16">
        <v>9485.187712</v>
      </c>
    </row>
    <row r="153" ht="13.5" customHeight="1">
      <c r="A153" s="15">
        <f t="shared" si="1"/>
        <v>152</v>
      </c>
      <c r="B153" s="12" t="s">
        <v>194</v>
      </c>
      <c r="C153" s="12" t="s">
        <v>193</v>
      </c>
      <c r="D153" s="13">
        <v>99.2921942774715</v>
      </c>
      <c r="E153" s="13">
        <v>29.9372991</v>
      </c>
      <c r="F153" s="13">
        <v>47.0416356640045</v>
      </c>
      <c r="G153" s="13">
        <v>22.3817312890228</v>
      </c>
      <c r="H153" s="13">
        <f>D153*Parameters!$B$2+E153*Parameters!$B$3+F153*Parameters!$B$4+G153*Parameters!$B$5</f>
        <v>49.66321508</v>
      </c>
      <c r="I153" s="16">
        <v>1045.922075</v>
      </c>
    </row>
    <row r="154" ht="13.5" customHeight="1">
      <c r="A154" s="15">
        <f t="shared" si="1"/>
        <v>153</v>
      </c>
      <c r="B154" s="12" t="s">
        <v>140</v>
      </c>
      <c r="C154" s="12" t="s">
        <v>139</v>
      </c>
      <c r="D154" s="13">
        <v>99.3490015297943</v>
      </c>
      <c r="E154" s="13">
        <v>0.0</v>
      </c>
      <c r="F154" s="13">
        <v>41.1032087082739</v>
      </c>
      <c r="G154" s="13">
        <v>58.1405472417835</v>
      </c>
      <c r="H154" s="13">
        <f>D154*Parameters!$B$2+E154*Parameters!$B$3+F154*Parameters!$B$4+G154*Parameters!$B$5</f>
        <v>49.64818937</v>
      </c>
      <c r="I154" s="16">
        <v>9172.710496</v>
      </c>
    </row>
    <row r="155" ht="13.5" customHeight="1">
      <c r="A155" s="15">
        <f t="shared" si="1"/>
        <v>154</v>
      </c>
      <c r="B155" s="12" t="s">
        <v>266</v>
      </c>
      <c r="C155" s="12" t="s">
        <v>265</v>
      </c>
      <c r="D155" s="13">
        <v>92.3551598061438</v>
      </c>
      <c r="E155" s="13">
        <v>0.0</v>
      </c>
      <c r="F155" s="13">
        <v>42.6206916215659</v>
      </c>
      <c r="G155" s="13">
        <v>62.2867506878469</v>
      </c>
      <c r="H155" s="13">
        <f>D155*Parameters!$B$2+E155*Parameters!$B$3+F155*Parameters!$B$4+G155*Parameters!$B$5</f>
        <v>49.31565053</v>
      </c>
      <c r="I155" s="16">
        <v>11798.79137</v>
      </c>
    </row>
    <row r="156" ht="13.5" customHeight="1">
      <c r="A156" s="15">
        <f t="shared" si="1"/>
        <v>155</v>
      </c>
      <c r="B156" s="12" t="s">
        <v>260</v>
      </c>
      <c r="C156" s="12" t="s">
        <v>259</v>
      </c>
      <c r="D156" s="13">
        <v>96.023701157213</v>
      </c>
      <c r="E156" s="13">
        <v>52.20560016</v>
      </c>
      <c r="F156" s="13">
        <v>39.8853627405346</v>
      </c>
      <c r="G156" s="13">
        <v>8.63622185085519</v>
      </c>
      <c r="H156" s="13">
        <f>D156*Parameters!$B$2+E156*Parameters!$B$3+F156*Parameters!$B$4+G156*Parameters!$B$5</f>
        <v>49.18772148</v>
      </c>
      <c r="I156" s="16">
        <v>453.9578097</v>
      </c>
    </row>
    <row r="157" ht="13.5" customHeight="1">
      <c r="A157" s="15">
        <f t="shared" si="1"/>
        <v>156</v>
      </c>
      <c r="B157" s="12" t="s">
        <v>350</v>
      </c>
      <c r="C157" s="12" t="s">
        <v>349</v>
      </c>
      <c r="D157" s="13">
        <v>97.7138719701287</v>
      </c>
      <c r="E157" s="13">
        <v>0.0</v>
      </c>
      <c r="F157" s="13">
        <v>32.5958770328586</v>
      </c>
      <c r="G157" s="13">
        <v>62.8250139835724</v>
      </c>
      <c r="H157" s="13">
        <f>D157*Parameters!$B$2+E157*Parameters!$B$3+F157*Parameters!$B$4+G157*Parameters!$B$5</f>
        <v>48.28369075</v>
      </c>
      <c r="I157" s="16">
        <v>12190.79709</v>
      </c>
    </row>
    <row r="158" ht="13.5" customHeight="1">
      <c r="A158" s="15">
        <f t="shared" si="1"/>
        <v>157</v>
      </c>
      <c r="B158" s="12" t="s">
        <v>202</v>
      </c>
      <c r="C158" s="12" t="s">
        <v>201</v>
      </c>
      <c r="D158" s="13">
        <v>84.5359500385644</v>
      </c>
      <c r="E158" s="13">
        <v>32.34145685</v>
      </c>
      <c r="F158" s="13">
        <v>37.7862706254877</v>
      </c>
      <c r="G158" s="13">
        <v>37.2211731076003</v>
      </c>
      <c r="H158" s="13">
        <f>D158*Parameters!$B$2+E158*Parameters!$B$3+F158*Parameters!$B$4+G158*Parameters!$B$5</f>
        <v>47.97121266</v>
      </c>
      <c r="I158" s="16">
        <v>2575.320812</v>
      </c>
    </row>
    <row r="159" ht="13.5" customHeight="1">
      <c r="A159" s="15">
        <f t="shared" si="1"/>
        <v>158</v>
      </c>
      <c r="B159" s="12" t="s">
        <v>70</v>
      </c>
      <c r="C159" s="12" t="s">
        <v>69</v>
      </c>
      <c r="D159" s="13">
        <v>96.2574719830311</v>
      </c>
      <c r="E159" s="13">
        <v>30.44144211</v>
      </c>
      <c r="F159" s="13">
        <v>37.5738819869525</v>
      </c>
      <c r="G159" s="13">
        <v>26.2740817179411</v>
      </c>
      <c r="H159" s="13">
        <f>D159*Parameters!$B$2+E159*Parameters!$B$3+F159*Parameters!$B$4+G159*Parameters!$B$5</f>
        <v>47.63671945</v>
      </c>
      <c r="I159" s="16">
        <v>1324.783126</v>
      </c>
    </row>
    <row r="160" ht="13.5" customHeight="1">
      <c r="A160" s="15">
        <f t="shared" si="1"/>
        <v>159</v>
      </c>
      <c r="B160" s="12" t="s">
        <v>410</v>
      </c>
      <c r="C160" s="12" t="s">
        <v>409</v>
      </c>
      <c r="D160" s="13">
        <v>99.7768594228685</v>
      </c>
      <c r="E160" s="13">
        <v>0.0</v>
      </c>
      <c r="F160" s="13">
        <v>65.8268083550065</v>
      </c>
      <c r="G160" s="13">
        <v>23.9328030358152</v>
      </c>
      <c r="H160" s="13">
        <f>D160*Parameters!$B$2+E160*Parameters!$B$3+F160*Parameters!$B$4+G160*Parameters!$B$5</f>
        <v>47.3841177</v>
      </c>
      <c r="I160" s="16">
        <v>1149.21889</v>
      </c>
    </row>
    <row r="161" ht="13.5" customHeight="1">
      <c r="A161" s="15">
        <f t="shared" si="1"/>
        <v>160</v>
      </c>
      <c r="B161" s="12" t="s">
        <v>188</v>
      </c>
      <c r="C161" s="12" t="s">
        <v>187</v>
      </c>
      <c r="D161" s="13">
        <v>98.0543372031785</v>
      </c>
      <c r="E161" s="13">
        <v>0.0</v>
      </c>
      <c r="F161" s="13">
        <v>31.5889326600044</v>
      </c>
      <c r="G161" s="13">
        <v>59.6327373153669</v>
      </c>
      <c r="H161" s="13">
        <f>D161*Parameters!$B$2+E161*Parameters!$B$3+F161*Parameters!$B$4+G161*Parameters!$B$5</f>
        <v>47.31900179</v>
      </c>
      <c r="I161" s="16">
        <v>10042.65031</v>
      </c>
    </row>
    <row r="162" ht="13.5" customHeight="1">
      <c r="A162" s="15">
        <f t="shared" si="1"/>
        <v>161</v>
      </c>
      <c r="B162" s="12" t="s">
        <v>366</v>
      </c>
      <c r="C162" s="12" t="s">
        <v>365</v>
      </c>
      <c r="D162" s="13">
        <v>84.6120500602713</v>
      </c>
      <c r="E162" s="13">
        <v>0.0</v>
      </c>
      <c r="F162" s="13">
        <v>34.5571866991687</v>
      </c>
      <c r="G162" s="13">
        <v>67.9217532751665</v>
      </c>
      <c r="H162" s="13">
        <f>D162*Parameters!$B$2+E162*Parameters!$B$3+F162*Parameters!$B$4+G162*Parameters!$B$5</f>
        <v>46.77274751</v>
      </c>
      <c r="I162" s="16">
        <v>16612.63749</v>
      </c>
    </row>
    <row r="163" ht="13.5" customHeight="1">
      <c r="A163" s="15">
        <f t="shared" si="1"/>
        <v>162</v>
      </c>
      <c r="B163" s="12" t="s">
        <v>292</v>
      </c>
      <c r="C163" s="12" t="s">
        <v>291</v>
      </c>
      <c r="D163" s="13">
        <v>86.587063357164</v>
      </c>
      <c r="E163" s="13">
        <v>0.0</v>
      </c>
      <c r="F163" s="13">
        <v>39.2831903385014</v>
      </c>
      <c r="G163" s="13">
        <v>56.3320031104168</v>
      </c>
      <c r="H163" s="13">
        <f>D163*Parameters!$B$2+E163*Parameters!$B$3+F163*Parameters!$B$4+G163*Parameters!$B$5</f>
        <v>45.5505642</v>
      </c>
      <c r="I163" s="16">
        <v>8218.724768</v>
      </c>
    </row>
    <row r="164" ht="13.5" customHeight="1">
      <c r="A164" s="15">
        <f t="shared" si="1"/>
        <v>163</v>
      </c>
      <c r="B164" s="12" t="s">
        <v>34</v>
      </c>
      <c r="C164" s="12" t="s">
        <v>33</v>
      </c>
      <c r="D164" s="13">
        <v>89.1337914224883</v>
      </c>
      <c r="E164" s="13">
        <v>43.4500072</v>
      </c>
      <c r="F164" s="13">
        <v>39.7653719919693</v>
      </c>
      <c r="G164" s="13">
        <v>5.46203612566071</v>
      </c>
      <c r="H164" s="13">
        <f>D164*Parameters!$B$2+E164*Parameters!$B$3+F164*Parameters!$B$4+G164*Parameters!$B$5</f>
        <v>44.45280169</v>
      </c>
      <c r="I164" s="16">
        <v>374.3766962</v>
      </c>
    </row>
    <row r="165" ht="13.5" customHeight="1">
      <c r="A165" s="15">
        <f t="shared" si="1"/>
        <v>164</v>
      </c>
      <c r="B165" s="12" t="s">
        <v>250</v>
      </c>
      <c r="C165" s="12" t="s">
        <v>249</v>
      </c>
      <c r="D165" s="13">
        <v>98.9957799365611</v>
      </c>
      <c r="E165" s="13">
        <v>21.82332014</v>
      </c>
      <c r="F165" s="13">
        <v>40.6352946569328</v>
      </c>
      <c r="G165" s="13">
        <v>14.926156556361</v>
      </c>
      <c r="H165" s="13">
        <f>D165*Parameters!$B$2+E165*Parameters!$B$3+F165*Parameters!$B$4+G165*Parameters!$B$5</f>
        <v>44.09513782</v>
      </c>
      <c r="I165" s="16">
        <v>665.1013376</v>
      </c>
    </row>
    <row r="166" ht="13.5" customHeight="1">
      <c r="A166" s="15">
        <f t="shared" si="1"/>
        <v>165</v>
      </c>
      <c r="B166" s="12" t="s">
        <v>320</v>
      </c>
      <c r="C166" s="12" t="s">
        <v>319</v>
      </c>
      <c r="D166" s="13">
        <v>60.6834587814991</v>
      </c>
      <c r="E166" s="13">
        <v>49.64915163</v>
      </c>
      <c r="F166" s="13">
        <v>30.1452137932443</v>
      </c>
      <c r="G166" s="13">
        <v>35.0571508082089</v>
      </c>
      <c r="H166" s="13">
        <f>D166*Parameters!$B$2+E166*Parameters!$B$3+F166*Parameters!$B$4+G166*Parameters!$B$5</f>
        <v>43.88374375</v>
      </c>
      <c r="I166" s="16">
        <v>2258.206987</v>
      </c>
    </row>
    <row r="167" ht="13.5" customHeight="1">
      <c r="A167" s="15">
        <f t="shared" si="1"/>
        <v>166</v>
      </c>
      <c r="B167" s="12" t="s">
        <v>96</v>
      </c>
      <c r="C167" s="12" t="s">
        <v>95</v>
      </c>
      <c r="D167" s="13">
        <v>68.9335917444334</v>
      </c>
      <c r="E167" s="13">
        <v>12.34912036</v>
      </c>
      <c r="F167" s="13">
        <v>47.8212588208467</v>
      </c>
      <c r="G167" s="13">
        <v>46.1853084650082</v>
      </c>
      <c r="H167" s="13">
        <f>D167*Parameters!$B$2+E167*Parameters!$B$3+F167*Parameters!$B$4+G167*Parameters!$B$5</f>
        <v>43.82231985</v>
      </c>
      <c r="I167" s="16">
        <v>4438.387419</v>
      </c>
    </row>
    <row r="168" ht="13.5" customHeight="1">
      <c r="A168" s="15">
        <f t="shared" si="1"/>
        <v>167</v>
      </c>
      <c r="B168" s="12" t="s">
        <v>138</v>
      </c>
      <c r="C168" s="12" t="s">
        <v>137</v>
      </c>
      <c r="D168" s="13">
        <v>65.0433388168512</v>
      </c>
      <c r="E168" s="13">
        <v>38.43898068</v>
      </c>
      <c r="F168" s="13">
        <v>29.3781072889673</v>
      </c>
      <c r="G168" s="13">
        <v>41.2566795021279</v>
      </c>
      <c r="H168" s="13">
        <f>D168*Parameters!$B$2+E168*Parameters!$B$3+F168*Parameters!$B$4+G168*Parameters!$B$5</f>
        <v>43.52927657</v>
      </c>
      <c r="I168" s="16">
        <v>3290.424821</v>
      </c>
    </row>
    <row r="169" ht="13.5" customHeight="1">
      <c r="A169" s="15">
        <f t="shared" si="1"/>
        <v>168</v>
      </c>
      <c r="B169" s="12" t="s">
        <v>362</v>
      </c>
      <c r="C169" s="12" t="s">
        <v>361</v>
      </c>
      <c r="D169" s="13">
        <v>85.6915939532364</v>
      </c>
      <c r="E169" s="13">
        <v>14.26023088</v>
      </c>
      <c r="F169" s="13">
        <v>44.3883093621283</v>
      </c>
      <c r="G169" s="13">
        <v>28.512056314518</v>
      </c>
      <c r="H169" s="13">
        <f>D169*Parameters!$B$2+E169*Parameters!$B$3+F169*Parameters!$B$4+G169*Parameters!$B$5</f>
        <v>43.21304763</v>
      </c>
      <c r="I169" s="16">
        <v>1517.618388</v>
      </c>
    </row>
    <row r="170" ht="13.5" customHeight="1">
      <c r="A170" s="15">
        <f t="shared" si="1"/>
        <v>169</v>
      </c>
      <c r="B170" s="12" t="s">
        <v>442</v>
      </c>
      <c r="C170" s="12" t="s">
        <v>441</v>
      </c>
      <c r="D170" s="13">
        <v>86.2551742396575</v>
      </c>
      <c r="E170" s="13">
        <v>0.0</v>
      </c>
      <c r="F170" s="13">
        <v>44.4086315731393</v>
      </c>
      <c r="G170" s="13">
        <v>40.9200672910539</v>
      </c>
      <c r="H170" s="13">
        <f>D170*Parameters!$B$2+E170*Parameters!$B$3+F170*Parameters!$B$4+G170*Parameters!$B$5</f>
        <v>42.89596828</v>
      </c>
      <c r="I170" s="16">
        <v>3223.85238</v>
      </c>
    </row>
    <row r="171" ht="13.5" customHeight="1">
      <c r="A171" s="15">
        <f t="shared" si="1"/>
        <v>170</v>
      </c>
      <c r="B171" s="12" t="s">
        <v>414</v>
      </c>
      <c r="C171" s="12" t="s">
        <v>413</v>
      </c>
      <c r="D171" s="13">
        <v>87.8569110983351</v>
      </c>
      <c r="E171" s="13">
        <v>0.0</v>
      </c>
      <c r="F171" s="13">
        <v>36.1698267021425</v>
      </c>
      <c r="G171" s="13">
        <v>47.4061834221517</v>
      </c>
      <c r="H171" s="13">
        <f>D171*Parameters!$B$2+E171*Parameters!$B$3+F171*Parameters!$B$4+G171*Parameters!$B$5</f>
        <v>42.85823031</v>
      </c>
      <c r="I171" s="16">
        <v>4779.923999</v>
      </c>
    </row>
    <row r="172" ht="13.5" customHeight="1">
      <c r="A172" s="15">
        <f t="shared" si="1"/>
        <v>171</v>
      </c>
      <c r="B172" s="12" t="s">
        <v>356</v>
      </c>
      <c r="C172" s="12" t="s">
        <v>355</v>
      </c>
      <c r="D172" s="13">
        <v>83.0751383673351</v>
      </c>
      <c r="E172" s="13">
        <v>0.0</v>
      </c>
      <c r="F172" s="13">
        <v>40.4857090712705</v>
      </c>
      <c r="G172" s="13">
        <v>47.7492584649993</v>
      </c>
      <c r="H172" s="13">
        <f>D172*Parameters!$B$2+E172*Parameters!$B$3+F172*Parameters!$B$4+G172*Parameters!$B$5</f>
        <v>42.82752648</v>
      </c>
      <c r="I172" s="16">
        <v>4880.54418</v>
      </c>
    </row>
    <row r="173" ht="13.5" customHeight="1">
      <c r="A173" s="15">
        <f t="shared" si="1"/>
        <v>172</v>
      </c>
      <c r="B173" s="12" t="s">
        <v>246</v>
      </c>
      <c r="C173" s="12" t="s">
        <v>245</v>
      </c>
      <c r="D173" s="13">
        <v>69.9559330950716</v>
      </c>
      <c r="E173" s="13">
        <v>12.43301061</v>
      </c>
      <c r="F173" s="13">
        <v>38.1292782956871</v>
      </c>
      <c r="G173" s="13">
        <v>49.3881580999882</v>
      </c>
      <c r="H173" s="13">
        <f>D173*Parameters!$B$2+E173*Parameters!$B$3+F173*Parameters!$B$4+G173*Parameters!$B$5</f>
        <v>42.47659503</v>
      </c>
      <c r="I173" s="16">
        <v>5391.229142</v>
      </c>
    </row>
    <row r="174" ht="13.5" customHeight="1">
      <c r="A174" s="15">
        <f t="shared" si="1"/>
        <v>173</v>
      </c>
      <c r="B174" s="12" t="s">
        <v>94</v>
      </c>
      <c r="C174" s="12" t="s">
        <v>93</v>
      </c>
      <c r="D174" s="13">
        <v>99.5328256842466</v>
      </c>
      <c r="E174" s="13">
        <v>26.83863844</v>
      </c>
      <c r="F174" s="13">
        <v>40.1393985329312</v>
      </c>
      <c r="G174" s="13">
        <v>0.0</v>
      </c>
      <c r="H174" s="13">
        <f>D174*Parameters!$B$2+E174*Parameters!$B$3+F174*Parameters!$B$4+G174*Parameters!$B$5</f>
        <v>41.62771566</v>
      </c>
      <c r="I174" s="16">
        <v>268.7008574</v>
      </c>
    </row>
    <row r="175" ht="13.5" customHeight="1">
      <c r="A175" s="15">
        <f t="shared" si="1"/>
        <v>174</v>
      </c>
      <c r="B175" s="12" t="s">
        <v>116</v>
      </c>
      <c r="C175" s="12" t="s">
        <v>115</v>
      </c>
      <c r="D175" s="13">
        <v>100.0</v>
      </c>
      <c r="E175" s="13">
        <v>0.0</v>
      </c>
      <c r="F175" s="13">
        <v>36.6262926347333</v>
      </c>
      <c r="G175" s="13">
        <v>27.2132235241953</v>
      </c>
      <c r="H175" s="13">
        <f>D175*Parameters!$B$2+E175*Parameters!$B$3+F175*Parameters!$B$4+G175*Parameters!$B$5</f>
        <v>40.95987904</v>
      </c>
      <c r="I175" s="16">
        <v>1402.526143</v>
      </c>
    </row>
    <row r="176" ht="13.5" customHeight="1">
      <c r="A176" s="15">
        <f t="shared" si="1"/>
        <v>175</v>
      </c>
      <c r="B176" s="12" t="s">
        <v>90</v>
      </c>
      <c r="C176" s="12" t="s">
        <v>89</v>
      </c>
      <c r="D176" s="13">
        <v>93.7014415326071</v>
      </c>
      <c r="E176" s="13">
        <v>17.73241256</v>
      </c>
      <c r="F176" s="13">
        <v>35.1850310971961</v>
      </c>
      <c r="G176" s="13">
        <v>17.2109518097251</v>
      </c>
      <c r="H176" s="13">
        <f>D176*Parameters!$B$2+E176*Parameters!$B$3+F176*Parameters!$B$4+G176*Parameters!$B$5</f>
        <v>40.95745925</v>
      </c>
      <c r="I176" s="16">
        <v>764.0826256</v>
      </c>
    </row>
    <row r="177" ht="13.5" customHeight="1">
      <c r="A177" s="15">
        <f t="shared" si="1"/>
        <v>176</v>
      </c>
      <c r="B177" s="12" t="s">
        <v>272</v>
      </c>
      <c r="C177" s="12" t="s">
        <v>271</v>
      </c>
      <c r="D177" s="13">
        <v>87.3263193851061</v>
      </c>
      <c r="E177" s="13">
        <v>9.43054249</v>
      </c>
      <c r="F177" s="13">
        <v>35.8870068714684</v>
      </c>
      <c r="G177" s="13">
        <v>30.3115188525828</v>
      </c>
      <c r="H177" s="13">
        <f>D177*Parameters!$B$2+E177*Parameters!$B$3+F177*Parameters!$B$4+G177*Parameters!$B$5</f>
        <v>40.7388469</v>
      </c>
      <c r="I177" s="16">
        <v>1692.841661</v>
      </c>
    </row>
    <row r="178" ht="13.5" customHeight="1">
      <c r="A178" s="15">
        <f t="shared" si="1"/>
        <v>177</v>
      </c>
      <c r="B178" s="12" t="s">
        <v>376</v>
      </c>
      <c r="C178" s="12" t="s">
        <v>375</v>
      </c>
      <c r="D178" s="13">
        <v>93.8812887912456</v>
      </c>
      <c r="E178" s="13">
        <v>0.0</v>
      </c>
      <c r="F178" s="13">
        <v>36.9324919563355</v>
      </c>
      <c r="G178" s="13">
        <v>31.3806319812921</v>
      </c>
      <c r="H178" s="13">
        <f>D178*Parameters!$B$2+E178*Parameters!$B$3+F178*Parameters!$B$4+G178*Parameters!$B$5</f>
        <v>40.54860318</v>
      </c>
      <c r="I178" s="16">
        <v>1806.383673</v>
      </c>
    </row>
    <row r="179" ht="13.5" customHeight="1">
      <c r="A179" s="15">
        <f t="shared" si="1"/>
        <v>178</v>
      </c>
      <c r="B179" s="12" t="s">
        <v>368</v>
      </c>
      <c r="C179" s="12" t="s">
        <v>367</v>
      </c>
      <c r="D179" s="13">
        <v>88.9211343113969</v>
      </c>
      <c r="E179" s="13">
        <v>7.539005473</v>
      </c>
      <c r="F179" s="13">
        <v>39.8193127000302</v>
      </c>
      <c r="G179" s="13">
        <v>23.760966491236</v>
      </c>
      <c r="H179" s="13">
        <f>D179*Parameters!$B$2+E179*Parameters!$B$3+F179*Parameters!$B$4+G179*Parameters!$B$5</f>
        <v>40.01010474</v>
      </c>
      <c r="I179" s="16">
        <v>1137.290056</v>
      </c>
    </row>
    <row r="180" ht="13.5" customHeight="1">
      <c r="A180" s="15">
        <f t="shared" si="1"/>
        <v>179</v>
      </c>
      <c r="B180" s="12" t="s">
        <v>248</v>
      </c>
      <c r="C180" s="12" t="s">
        <v>247</v>
      </c>
      <c r="D180" s="13">
        <v>81.4257788802459</v>
      </c>
      <c r="E180" s="13">
        <v>31.60057687</v>
      </c>
      <c r="F180" s="13">
        <v>24.5636877849985</v>
      </c>
      <c r="G180" s="13">
        <v>21.8484171054756</v>
      </c>
      <c r="H180" s="13">
        <f>D180*Parameters!$B$2+E180*Parameters!$B$3+F180*Parameters!$B$4+G180*Parameters!$B$5</f>
        <v>39.85961516</v>
      </c>
      <c r="I180" s="16">
        <v>1012.593795</v>
      </c>
    </row>
    <row r="181" ht="13.5" customHeight="1">
      <c r="A181" s="15">
        <f t="shared" si="1"/>
        <v>180</v>
      </c>
      <c r="B181" s="12" t="s">
        <v>234</v>
      </c>
      <c r="C181" s="12" t="s">
        <v>233</v>
      </c>
      <c r="D181" s="13">
        <v>79.4069556581263</v>
      </c>
      <c r="E181" s="13">
        <v>0.0</v>
      </c>
      <c r="F181" s="13">
        <v>45.3174611207778</v>
      </c>
      <c r="G181" s="13">
        <v>33.4867043005716</v>
      </c>
      <c r="H181" s="13">
        <f>D181*Parameters!$B$2+E181*Parameters!$B$3+F181*Parameters!$B$4+G181*Parameters!$B$5</f>
        <v>39.55278027</v>
      </c>
      <c r="I181" s="16">
        <v>2052.812988</v>
      </c>
    </row>
    <row r="182" ht="13.5" customHeight="1">
      <c r="A182" s="15">
        <f t="shared" si="1"/>
        <v>181</v>
      </c>
      <c r="B182" s="12" t="s">
        <v>471</v>
      </c>
      <c r="C182" s="12" t="s">
        <v>173</v>
      </c>
      <c r="D182" s="13">
        <v>98.9408761395176</v>
      </c>
      <c r="E182" s="13">
        <v>0.0</v>
      </c>
      <c r="F182" s="13">
        <v>40.9657561633232</v>
      </c>
      <c r="G182" s="13">
        <v>17.1002977186862</v>
      </c>
      <c r="H182" s="13">
        <f>D182*Parameters!$B$2+E182*Parameters!$B$3+F182*Parameters!$B$4+G182*Parameters!$B$5</f>
        <v>39.25173251</v>
      </c>
      <c r="I182" s="16">
        <v>758.9658888</v>
      </c>
    </row>
    <row r="183" ht="13.5" customHeight="1">
      <c r="A183" s="15">
        <f t="shared" si="1"/>
        <v>182</v>
      </c>
      <c r="B183" s="12" t="s">
        <v>358</v>
      </c>
      <c r="C183" s="12" t="s">
        <v>357</v>
      </c>
      <c r="D183" s="13">
        <v>100.0</v>
      </c>
      <c r="E183" s="13">
        <v>0.0</v>
      </c>
      <c r="F183" s="13">
        <v>29.5636101079553</v>
      </c>
      <c r="G183" s="13">
        <v>26.8660714471978</v>
      </c>
      <c r="H183" s="13">
        <f>D183*Parameters!$B$2+E183*Parameters!$B$3+F183*Parameters!$B$4+G183*Parameters!$B$5</f>
        <v>39.10742039</v>
      </c>
      <c r="I183" s="16">
        <v>1373.270821</v>
      </c>
    </row>
    <row r="184" ht="13.5" customHeight="1">
      <c r="A184" s="15">
        <f t="shared" si="1"/>
        <v>183</v>
      </c>
      <c r="B184" s="12" t="s">
        <v>200</v>
      </c>
      <c r="C184" s="12" t="s">
        <v>199</v>
      </c>
      <c r="D184" s="13">
        <v>99.4723054342757</v>
      </c>
      <c r="E184" s="13">
        <v>5.685977293</v>
      </c>
      <c r="F184" s="13">
        <v>24.9972856385386</v>
      </c>
      <c r="G184" s="13">
        <v>24.0109968221701</v>
      </c>
      <c r="H184" s="13">
        <f>D184*Parameters!$B$2+E184*Parameters!$B$3+F184*Parameters!$B$4+G184*Parameters!$B$5</f>
        <v>38.5416413</v>
      </c>
      <c r="I184" s="16">
        <v>1154.688419</v>
      </c>
    </row>
    <row r="185" ht="13.5" customHeight="1">
      <c r="A185" s="15">
        <f t="shared" si="1"/>
        <v>184</v>
      </c>
      <c r="B185" s="12" t="s">
        <v>268</v>
      </c>
      <c r="C185" s="12" t="s">
        <v>267</v>
      </c>
      <c r="D185" s="13">
        <v>97.0928254576017</v>
      </c>
      <c r="E185" s="13">
        <v>6.493598475</v>
      </c>
      <c r="F185" s="13">
        <v>29.1465252556415</v>
      </c>
      <c r="G185" s="13">
        <v>20.0945810387549</v>
      </c>
      <c r="H185" s="13">
        <f>D185*Parameters!$B$2+E185*Parameters!$B$3+F185*Parameters!$B$4+G185*Parameters!$B$5</f>
        <v>38.20688256</v>
      </c>
      <c r="I185" s="16">
        <v>910.3003763</v>
      </c>
    </row>
    <row r="186" ht="13.5" customHeight="1">
      <c r="A186" s="15">
        <f t="shared" si="1"/>
        <v>185</v>
      </c>
      <c r="B186" s="12" t="s">
        <v>196</v>
      </c>
      <c r="C186" s="12" t="s">
        <v>195</v>
      </c>
      <c r="D186" s="13">
        <v>96.0315270871972</v>
      </c>
      <c r="E186" s="13">
        <v>0.0</v>
      </c>
      <c r="F186" s="13">
        <v>34.1794145193148</v>
      </c>
      <c r="G186" s="13">
        <v>17.6748165754988</v>
      </c>
      <c r="H186" s="13">
        <f>D186*Parameters!$B$2+E186*Parameters!$B$3+F186*Parameters!$B$4+G186*Parameters!$B$5</f>
        <v>36.97143955</v>
      </c>
      <c r="I186" s="16">
        <v>785.9102196</v>
      </c>
    </row>
    <row r="187" ht="13.5" customHeight="1">
      <c r="A187" s="15">
        <f t="shared" si="1"/>
        <v>186</v>
      </c>
      <c r="B187" s="12" t="s">
        <v>462</v>
      </c>
      <c r="C187" s="12" t="s">
        <v>105</v>
      </c>
      <c r="D187" s="13">
        <v>100.0</v>
      </c>
      <c r="E187" s="13">
        <v>0.0</v>
      </c>
      <c r="F187" s="13">
        <v>34.5393619028944</v>
      </c>
      <c r="G187" s="13">
        <v>6.13273675505448</v>
      </c>
      <c r="H187" s="13">
        <f>D187*Parameters!$B$2+E187*Parameters!$B$3+F187*Parameters!$B$4+G187*Parameters!$B$5</f>
        <v>35.16802466</v>
      </c>
      <c r="I187" s="16">
        <v>389.938308</v>
      </c>
    </row>
    <row r="188" ht="13.5" customHeight="1">
      <c r="A188" s="15">
        <f t="shared" si="1"/>
        <v>187</v>
      </c>
      <c r="B188" s="12" t="s">
        <v>378</v>
      </c>
      <c r="C188" s="12" t="s">
        <v>377</v>
      </c>
      <c r="D188" s="13">
        <v>80.6686768984602</v>
      </c>
      <c r="E188" s="13">
        <v>0.0</v>
      </c>
      <c r="F188" s="13">
        <v>28.4251294112976</v>
      </c>
      <c r="G188" s="13">
        <v>9.11221019990712</v>
      </c>
      <c r="H188" s="13">
        <f>D188*Parameters!$B$2+E188*Parameters!$B$3+F188*Parameters!$B$4+G188*Parameters!$B$5</f>
        <v>29.55150413</v>
      </c>
      <c r="I188" s="16">
        <v>467.2699102</v>
      </c>
    </row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conditionalFormatting sqref="H2:H188">
    <cfRule type="colorScale" priority="1">
      <colorScale>
        <cfvo type="min" val="0"/>
        <cfvo type="percentile" val="50"/>
        <cfvo type="max" val="0"/>
        <color rgb="FFF4CCCC"/>
        <color rgb="FFFFF2CC"/>
        <color rgb="FFD9EAD3"/>
      </colorScale>
    </cfRule>
  </conditionalFormatting>
  <dataValidations>
    <dataValidation type="custom" allowBlank="1" showDropDown="1" sqref="A2:A188 D2:I188">
      <formula1>AND(ISNUMBER(A2),(NOT(OR(NOT(ISERROR(DATEVALUE(A2))), AND(ISNUMBER(A2), LEFT(CELL("format", A2))="D")))))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