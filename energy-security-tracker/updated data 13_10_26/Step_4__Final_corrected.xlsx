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arameters" sheetId="2" r:id="rId6"/>
    <sheet state="visible" name="Step 3 Eligibility" sheetId="3" r:id="rId7"/>
    <sheet state="visible" name="GDP Source - Filtered" sheetId="4" r:id="rId8"/>
    <sheet state="visible" name="Step 4 Results" sheetId="5" r:id="rId9"/>
  </sheets>
  <definedNames/>
  <calcPr/>
</workbook>
</file>

<file path=xl/sharedStrings.xml><?xml version="1.0" encoding="utf-8"?>
<sst xmlns="http://schemas.openxmlformats.org/spreadsheetml/2006/main" count="1600" uniqueCount="478">
  <si>
    <t>Parameter</t>
  </si>
  <si>
    <t>Energy Security Index — Step 4: GDP per Capita (2024)</t>
  </si>
  <si>
    <t>Value</t>
  </si>
  <si>
    <t>Notes</t>
  </si>
  <si>
    <t>Purpose</t>
  </si>
  <si>
    <t>Eligible country count</t>
  </si>
  <si>
    <t>Retain only countries with a numeric Step 3 score, rank those with usable 2024 GDP per capita data, and normalize GDP per capita logarithmically to 0–100.</t>
  </si>
  <si>
    <t>Step 3 eligibility rule</t>
  </si>
  <si>
    <t>A country is eligible only if it has a numeric value in Country Calc → Step 3 Score (0-100) in the BACI Step 3 workbook.</t>
  </si>
  <si>
    <t>GDP source rule</t>
  </si>
  <si>
    <t>Countries must also have a positive numeric GDP per capita value in the uploaded 2024 constant-2015-US$ World Bank source.</t>
  </si>
  <si>
    <t>Step 4 formula</t>
  </si>
  <si>
    <t>100 × [ln(GDPpcᵢ) − ln(GDPpcₘᵢₙ)] / [ln(GDPpcₘₐₓ) − ln(GDPpcₘᵢₙ)]</t>
  </si>
  <si>
    <t>Ranking</t>
  </si>
  <si>
    <t>GDP per capita descending; rank 1 is the highest GDP per capita among Step 3-eligible countries with GDP data.</t>
  </si>
  <si>
    <t>Step 3-scored countries</t>
  </si>
  <si>
    <t>Countries with usable GDP data</t>
  </si>
  <si>
    <t>Step 3-scored countries missing GDP data</t>
  </si>
  <si>
    <t>GDP source file</t>
  </si>
  <si>
    <t>Step 4. GDP Per Capita 2024_2015USD.xls</t>
  </si>
  <si>
    <t>Step 3 source file</t>
  </si>
  <si>
    <t>Energy_Security_Index_Step3_BACI_2024.xlsx</t>
  </si>
  <si>
    <t>GDP indicator</t>
  </si>
  <si>
    <t>GDP per capita (constant 2015 US$)</t>
  </si>
  <si>
    <t>Important</t>
  </si>
  <si>
    <t>The min and max used in the formula are calculated only from the retained Step 3-eligible countries with usable GDP data, not from the entire World Bank file.</t>
  </si>
  <si>
    <t>Audit note</t>
  </si>
  <si>
    <t>Step 3 scores refreshed 07/10/2026 from 'Step 3. BACI_2024 (corrected).xlsx' (weights 0.40 / 0.20 / 0.20 / 0.20; Guyana I = 0). Step 3 eligibility set unchanged (197); Step 4 scores unaffected.</t>
  </si>
  <si>
    <t>Count of countries in filtered GDP source</t>
  </si>
  <si>
    <t>GDPpc minimum</t>
  </si>
  <si>
    <t>Minimum among retained countries</t>
  </si>
  <si>
    <t>GDPpc maximum</t>
  </si>
  <si>
    <t>Maximum among retained countries</t>
  </si>
  <si>
    <t>ln(GDPpc minimum)</t>
  </si>
  <si>
    <t>Natural log of eligible minimum</t>
  </si>
  <si>
    <t>ln(GDPpc maximum)</t>
  </si>
  <si>
    <t>Natural log of eligible maximum</t>
  </si>
  <si>
    <t>ISO3</t>
  </si>
  <si>
    <t>GDP Source Country</t>
  </si>
  <si>
    <t>Step 3 Country</t>
  </si>
  <si>
    <t>Indicator</t>
  </si>
  <si>
    <t>Step 3 Score (0-100)</t>
  </si>
  <si>
    <t>GDP per Capita (constant 2015 US$)</t>
  </si>
  <si>
    <t>Included in Step 4</t>
  </si>
  <si>
    <t>Exclusion Reason</t>
  </si>
  <si>
    <t>Bermuda</t>
  </si>
  <si>
    <t>AFG</t>
  </si>
  <si>
    <t>BMU</t>
  </si>
  <si>
    <t>Afghanistan</t>
  </si>
  <si>
    <t>Yes</t>
  </si>
  <si>
    <t>Luxembourg</t>
  </si>
  <si>
    <t>LUX</t>
  </si>
  <si>
    <t>ALB</t>
  </si>
  <si>
    <t>Albania</t>
  </si>
  <si>
    <t>Ireland</t>
  </si>
  <si>
    <t>IRL</t>
  </si>
  <si>
    <t>Switzerland</t>
  </si>
  <si>
    <t>DZA</t>
  </si>
  <si>
    <t>CHE</t>
  </si>
  <si>
    <t>Algeria</t>
  </si>
  <si>
    <t>Cayman Islands</t>
  </si>
  <si>
    <t>CYM</t>
  </si>
  <si>
    <t>ASM</t>
  </si>
  <si>
    <t>American Samoa</t>
  </si>
  <si>
    <t>Cayman Isds</t>
  </si>
  <si>
    <t>No</t>
  </si>
  <si>
    <t>Norway</t>
  </si>
  <si>
    <t>No usable 2024 GDP per capita value in uploaded Step 4 source</t>
  </si>
  <si>
    <t>NOR</t>
  </si>
  <si>
    <t>AGO</t>
  </si>
  <si>
    <t>Angola</t>
  </si>
  <si>
    <t>Singapore</t>
  </si>
  <si>
    <t>SGP</t>
  </si>
  <si>
    <t>United States</t>
  </si>
  <si>
    <t>ATG</t>
  </si>
  <si>
    <t>USA</t>
  </si>
  <si>
    <t>Antigua and Barbuda</t>
  </si>
  <si>
    <t>Macao SAR, China</t>
  </si>
  <si>
    <t>MAC</t>
  </si>
  <si>
    <t>ARG</t>
  </si>
  <si>
    <t>Argentina</t>
  </si>
  <si>
    <t>China, Macao SAR</t>
  </si>
  <si>
    <t>Qatar</t>
  </si>
  <si>
    <t>QAT</t>
  </si>
  <si>
    <t>ARM</t>
  </si>
  <si>
    <t>Armenia</t>
  </si>
  <si>
    <t>Australia</t>
  </si>
  <si>
    <t>AUS</t>
  </si>
  <si>
    <t>Denmark</t>
  </si>
  <si>
    <t>ABW</t>
  </si>
  <si>
    <t>DNK</t>
  </si>
  <si>
    <t>Aruba</t>
  </si>
  <si>
    <t>GDPpc Rank</t>
  </si>
  <si>
    <t>Iceland</t>
  </si>
  <si>
    <t>ISL</t>
  </si>
  <si>
    <t>Country</t>
  </si>
  <si>
    <t>Sweden</t>
  </si>
  <si>
    <t>SWE</t>
  </si>
  <si>
    <t>ln(GDPpcᵢ)</t>
  </si>
  <si>
    <t>ln(GDPpcₘᵢₙ)</t>
  </si>
  <si>
    <t>ln(GDPpcₘₐₓ)</t>
  </si>
  <si>
    <t>Step 4 Score (0-100)</t>
  </si>
  <si>
    <t>Netherlands</t>
  </si>
  <si>
    <t>NLD</t>
  </si>
  <si>
    <t>AUT</t>
  </si>
  <si>
    <t>Austria</t>
  </si>
  <si>
    <t>United Kingdom</t>
  </si>
  <si>
    <t>GBR</t>
  </si>
  <si>
    <t>AZE</t>
  </si>
  <si>
    <t>Azerbaijan</t>
  </si>
  <si>
    <t>Finland</t>
  </si>
  <si>
    <t>FIN</t>
  </si>
  <si>
    <t>BHS</t>
  </si>
  <si>
    <t>Bahamas</t>
  </si>
  <si>
    <t>Bahamas, The</t>
  </si>
  <si>
    <t>Canada</t>
  </si>
  <si>
    <t>CAN</t>
  </si>
  <si>
    <t>BHR</t>
  </si>
  <si>
    <t>Bahrain</t>
  </si>
  <si>
    <t>Belgium</t>
  </si>
  <si>
    <t>BEL</t>
  </si>
  <si>
    <t>Hong Kong SAR, China</t>
  </si>
  <si>
    <t>BGD</t>
  </si>
  <si>
    <t>HKG</t>
  </si>
  <si>
    <t>Bangladesh</t>
  </si>
  <si>
    <t>China, Hong Kong SAR</t>
  </si>
  <si>
    <t>Germany</t>
  </si>
  <si>
    <t>DEU</t>
  </si>
  <si>
    <t>BRB</t>
  </si>
  <si>
    <t>Barbados</t>
  </si>
  <si>
    <t>Israel</t>
  </si>
  <si>
    <t>ISR</t>
  </si>
  <si>
    <t>BLR</t>
  </si>
  <si>
    <t>Belarus</t>
  </si>
  <si>
    <t>United Arab Emirates</t>
  </si>
  <si>
    <t>ARE</t>
  </si>
  <si>
    <t>New Zealand</t>
  </si>
  <si>
    <t>NZL</t>
  </si>
  <si>
    <t>France</t>
  </si>
  <si>
    <t>FRA</t>
  </si>
  <si>
    <t>BLZ</t>
  </si>
  <si>
    <t>Belize</t>
  </si>
  <si>
    <t>Japan</t>
  </si>
  <si>
    <t>JPN</t>
  </si>
  <si>
    <t>BEN</t>
  </si>
  <si>
    <t>Korea, Rep.</t>
  </si>
  <si>
    <t>Benin</t>
  </si>
  <si>
    <t>KOR</t>
  </si>
  <si>
    <t>Rep. of Korea</t>
  </si>
  <si>
    <t>Italy</t>
  </si>
  <si>
    <t>ITA</t>
  </si>
  <si>
    <t>Malta</t>
  </si>
  <si>
    <t>MLT</t>
  </si>
  <si>
    <t>BTN</t>
  </si>
  <si>
    <t>Bhutan</t>
  </si>
  <si>
    <t>BOL</t>
  </si>
  <si>
    <t>Bolivia (Plurinational State of)</t>
  </si>
  <si>
    <t>Bolivia</t>
  </si>
  <si>
    <t>Guyana</t>
  </si>
  <si>
    <t>GUY</t>
  </si>
  <si>
    <t>BIH</t>
  </si>
  <si>
    <t>Bosnia Herzegovina</t>
  </si>
  <si>
    <t>Bosnia and Herzegovina</t>
  </si>
  <si>
    <t>Cyprus</t>
  </si>
  <si>
    <t>CYP</t>
  </si>
  <si>
    <t>BWA</t>
  </si>
  <si>
    <t>Botswana</t>
  </si>
  <si>
    <t>Brunei Darussalam</t>
  </si>
  <si>
    <t>BRN</t>
  </si>
  <si>
    <t>BRA</t>
  </si>
  <si>
    <t>Spain</t>
  </si>
  <si>
    <t>ESP</t>
  </si>
  <si>
    <t>Brazil</t>
  </si>
  <si>
    <t>Slovenia</t>
  </si>
  <si>
    <t>SVN</t>
  </si>
  <si>
    <t>Saudi Arabia</t>
  </si>
  <si>
    <t>BGR</t>
  </si>
  <si>
    <t>SAU</t>
  </si>
  <si>
    <t>Bulgaria</t>
  </si>
  <si>
    <t>Kuwait</t>
  </si>
  <si>
    <t>KWT</t>
  </si>
  <si>
    <t>BFA</t>
  </si>
  <si>
    <t>Burkina Faso</t>
  </si>
  <si>
    <t>Portugal</t>
  </si>
  <si>
    <t>PRT</t>
  </si>
  <si>
    <t>BDI</t>
  </si>
  <si>
    <t>Burundi</t>
  </si>
  <si>
    <t>St. Kitts and Nevis</t>
  </si>
  <si>
    <t>KNA</t>
  </si>
  <si>
    <t>CPV</t>
  </si>
  <si>
    <t>Cabo Verde</t>
  </si>
  <si>
    <t>Saint Kitts and Nevis</t>
  </si>
  <si>
    <t>Greece</t>
  </si>
  <si>
    <t>KHM</t>
  </si>
  <si>
    <t>Cambodia</t>
  </si>
  <si>
    <t>GRC</t>
  </si>
  <si>
    <t>French Polynesia</t>
  </si>
  <si>
    <t>PYF</t>
  </si>
  <si>
    <t>CMR</t>
  </si>
  <si>
    <t>Cameroon</t>
  </si>
  <si>
    <t>Czechia</t>
  </si>
  <si>
    <t>CZE</t>
  </si>
  <si>
    <t>Estonia</t>
  </si>
  <si>
    <t>EST</t>
  </si>
  <si>
    <t>Slovak Republic</t>
  </si>
  <si>
    <t>SVK</t>
  </si>
  <si>
    <t>Slovakia</t>
  </si>
  <si>
    <t>Lithuania</t>
  </si>
  <si>
    <t>LTU</t>
  </si>
  <si>
    <t>CAF</t>
  </si>
  <si>
    <t>Central African Rep.</t>
  </si>
  <si>
    <t>Central African Republic</t>
  </si>
  <si>
    <t>Uruguay</t>
  </si>
  <si>
    <t>URY</t>
  </si>
  <si>
    <t>TCD</t>
  </si>
  <si>
    <t>Chad</t>
  </si>
  <si>
    <t>CHL</t>
  </si>
  <si>
    <t>Poland</t>
  </si>
  <si>
    <t>Chile</t>
  </si>
  <si>
    <t>POL</t>
  </si>
  <si>
    <t>Croatia</t>
  </si>
  <si>
    <t>HRV</t>
  </si>
  <si>
    <t>CHN</t>
  </si>
  <si>
    <t>China</t>
  </si>
  <si>
    <t>Oman</t>
  </si>
  <si>
    <t>OMN</t>
  </si>
  <si>
    <t>Panama</t>
  </si>
  <si>
    <t>PAN</t>
  </si>
  <si>
    <t>Seychelles</t>
  </si>
  <si>
    <t>SYC</t>
  </si>
  <si>
    <t>Hungary</t>
  </si>
  <si>
    <t>HUN</t>
  </si>
  <si>
    <t>COL</t>
  </si>
  <si>
    <t>Colombia</t>
  </si>
  <si>
    <t>Latvia</t>
  </si>
  <si>
    <t>LVA</t>
  </si>
  <si>
    <t>COM</t>
  </si>
  <si>
    <t>Comoros</t>
  </si>
  <si>
    <t>Trinidad and Tobago</t>
  </si>
  <si>
    <t>TTO</t>
  </si>
  <si>
    <t>Turkiye</t>
  </si>
  <si>
    <t>TUR</t>
  </si>
  <si>
    <t>COG</t>
  </si>
  <si>
    <t>Congo</t>
  </si>
  <si>
    <t>TÃ¼rkiye</t>
  </si>
  <si>
    <t>Congo, Rep.</t>
  </si>
  <si>
    <t>Costa Rica</t>
  </si>
  <si>
    <t>CRI</t>
  </si>
  <si>
    <t>CUB</t>
  </si>
  <si>
    <t>Cuba</t>
  </si>
  <si>
    <t>Romania</t>
  </si>
  <si>
    <t>ROU</t>
  </si>
  <si>
    <t>St. Lucia</t>
  </si>
  <si>
    <t>LCA</t>
  </si>
  <si>
    <t>Saint Lucia</t>
  </si>
  <si>
    <t>Mauritius</t>
  </si>
  <si>
    <t>MUS</t>
  </si>
  <si>
    <t>Malaysia</t>
  </si>
  <si>
    <t>CIV</t>
  </si>
  <si>
    <t>MYS</t>
  </si>
  <si>
    <t>CÃ´te d'Ivoire</t>
  </si>
  <si>
    <t>Cote d'Ivoire</t>
  </si>
  <si>
    <t>Kazakhstan</t>
  </si>
  <si>
    <t>KAZ</t>
  </si>
  <si>
    <t>PRK</t>
  </si>
  <si>
    <t>Dem. People's Rep. of Korea</t>
  </si>
  <si>
    <t>Maldives</t>
  </si>
  <si>
    <t>MDV</t>
  </si>
  <si>
    <t>COD</t>
  </si>
  <si>
    <t>Dem. Rep. of the Congo</t>
  </si>
  <si>
    <t>Russian Federation</t>
  </si>
  <si>
    <t>Congo, Dem. Rep.</t>
  </si>
  <si>
    <t>RUS</t>
  </si>
  <si>
    <t>Mexico</t>
  </si>
  <si>
    <t>MEX</t>
  </si>
  <si>
    <t>DJI</t>
  </si>
  <si>
    <t>Djibouti</t>
  </si>
  <si>
    <t>Grenada</t>
  </si>
  <si>
    <t>GRD</t>
  </si>
  <si>
    <t>DMA</t>
  </si>
  <si>
    <t>Dominica</t>
  </si>
  <si>
    <t>DOM</t>
  </si>
  <si>
    <t>Dominican Rep.</t>
  </si>
  <si>
    <t>Dominican Republic</t>
  </si>
  <si>
    <t>St. Vincent and the Grenadines</t>
  </si>
  <si>
    <t>VCT</t>
  </si>
  <si>
    <t>Saint Vincent and the Grenadines</t>
  </si>
  <si>
    <t>ECU</t>
  </si>
  <si>
    <t>Ecuador</t>
  </si>
  <si>
    <t>EGY</t>
  </si>
  <si>
    <t>Egypt</t>
  </si>
  <si>
    <t>Egypt, Arab Rep.</t>
  </si>
  <si>
    <t>SLV</t>
  </si>
  <si>
    <t>Serbia</t>
  </si>
  <si>
    <t>El Salvador</t>
  </si>
  <si>
    <t>SRB</t>
  </si>
  <si>
    <t>Montenegro</t>
  </si>
  <si>
    <t>MNE</t>
  </si>
  <si>
    <t>GNQ</t>
  </si>
  <si>
    <t>Equatorial Guinea</t>
  </si>
  <si>
    <t>Turkmenistan</t>
  </si>
  <si>
    <t>TKM</t>
  </si>
  <si>
    <t>ERI</t>
  </si>
  <si>
    <t>Eritrea</t>
  </si>
  <si>
    <t>Naoero</t>
  </si>
  <si>
    <t>NRU</t>
  </si>
  <si>
    <t>Nauru</t>
  </si>
  <si>
    <t>Libya</t>
  </si>
  <si>
    <t>LBY</t>
  </si>
  <si>
    <t>SWZ</t>
  </si>
  <si>
    <t>Eswatini</t>
  </si>
  <si>
    <t>Suriname</t>
  </si>
  <si>
    <t>SUR</t>
  </si>
  <si>
    <t>ETH</t>
  </si>
  <si>
    <t>Ethiopia</t>
  </si>
  <si>
    <t>FSM</t>
  </si>
  <si>
    <t>FS Micronesia</t>
  </si>
  <si>
    <t>Micronesia, Fed. Sts.</t>
  </si>
  <si>
    <t>FJI</t>
  </si>
  <si>
    <t>Fiji</t>
  </si>
  <si>
    <t>Peru</t>
  </si>
  <si>
    <t>PER</t>
  </si>
  <si>
    <t>Paraguay</t>
  </si>
  <si>
    <t>PRY</t>
  </si>
  <si>
    <t>North Macedonia</t>
  </si>
  <si>
    <t>MKD</t>
  </si>
  <si>
    <t>Gabon</t>
  </si>
  <si>
    <t>GAB</t>
  </si>
  <si>
    <t>Thailand</t>
  </si>
  <si>
    <t>THA</t>
  </si>
  <si>
    <t>GMB</t>
  </si>
  <si>
    <t>Gambia</t>
  </si>
  <si>
    <t>Gambia, The</t>
  </si>
  <si>
    <t>Georgia</t>
  </si>
  <si>
    <t>GEO</t>
  </si>
  <si>
    <t>Jamaica</t>
  </si>
  <si>
    <t>JAM</t>
  </si>
  <si>
    <t>GHA</t>
  </si>
  <si>
    <t>Ghana</t>
  </si>
  <si>
    <t>GRL</t>
  </si>
  <si>
    <t>Greenland</t>
  </si>
  <si>
    <t>Iran, Islamic Rep.</t>
  </si>
  <si>
    <t>IRN</t>
  </si>
  <si>
    <t>Iran</t>
  </si>
  <si>
    <t>South Africa</t>
  </si>
  <si>
    <t>ZAF</t>
  </si>
  <si>
    <t>Lebanon</t>
  </si>
  <si>
    <t>LBN</t>
  </si>
  <si>
    <t>GUM</t>
  </si>
  <si>
    <t>Guam</t>
  </si>
  <si>
    <t>GTM</t>
  </si>
  <si>
    <t>Guatemala</t>
  </si>
  <si>
    <t>Samoa</t>
  </si>
  <si>
    <t>WSM</t>
  </si>
  <si>
    <t>Tonga</t>
  </si>
  <si>
    <t>TON</t>
  </si>
  <si>
    <t>GIN</t>
  </si>
  <si>
    <t>Guinea</t>
  </si>
  <si>
    <t>Mongolia</t>
  </si>
  <si>
    <t>GNB</t>
  </si>
  <si>
    <t>MNG</t>
  </si>
  <si>
    <t>Guinea-Bissau</t>
  </si>
  <si>
    <t>Uzbekistan</t>
  </si>
  <si>
    <t>UZB</t>
  </si>
  <si>
    <t>HTI</t>
  </si>
  <si>
    <t>Haiti</t>
  </si>
  <si>
    <t>Jordan</t>
  </si>
  <si>
    <t>JOR</t>
  </si>
  <si>
    <t>HND</t>
  </si>
  <si>
    <t>Honduras</t>
  </si>
  <si>
    <t>Indonesia</t>
  </si>
  <si>
    <t>IDN</t>
  </si>
  <si>
    <t>Sri Lanka</t>
  </si>
  <si>
    <t>LKA</t>
  </si>
  <si>
    <t>Iraq</t>
  </si>
  <si>
    <t>IRQ</t>
  </si>
  <si>
    <t>Namibia</t>
  </si>
  <si>
    <t>NAM</t>
  </si>
  <si>
    <t>IND</t>
  </si>
  <si>
    <t>India</t>
  </si>
  <si>
    <t>Viet Nam</t>
  </si>
  <si>
    <t>VNM</t>
  </si>
  <si>
    <t>Tunisia</t>
  </si>
  <si>
    <t>TUN</t>
  </si>
  <si>
    <t>Philippines</t>
  </si>
  <si>
    <t>PHL</t>
  </si>
  <si>
    <t>Moldova</t>
  </si>
  <si>
    <t>MDA</t>
  </si>
  <si>
    <t>Rep. of Moldova</t>
  </si>
  <si>
    <t>Morocco</t>
  </si>
  <si>
    <t>MAR</t>
  </si>
  <si>
    <t>Vanuatu</t>
  </si>
  <si>
    <t>VUT</t>
  </si>
  <si>
    <t>Lao PDR</t>
  </si>
  <si>
    <t>LAO</t>
  </si>
  <si>
    <t>Lao People's Dem. Rep.</t>
  </si>
  <si>
    <t>Papua New Guinea</t>
  </si>
  <si>
    <t>PNG</t>
  </si>
  <si>
    <t>Nigeria</t>
  </si>
  <si>
    <t>NGA</t>
  </si>
  <si>
    <t>KEN</t>
  </si>
  <si>
    <t>Kenya</t>
  </si>
  <si>
    <t>Nicaragua</t>
  </si>
  <si>
    <t>NIC</t>
  </si>
  <si>
    <t>West Bank and Gaza</t>
  </si>
  <si>
    <t>PSE</t>
  </si>
  <si>
    <t>State of Palestine</t>
  </si>
  <si>
    <t>Ukraine</t>
  </si>
  <si>
    <t>UKR</t>
  </si>
  <si>
    <t>KIR</t>
  </si>
  <si>
    <t>Kiribati</t>
  </si>
  <si>
    <t>KGZ</t>
  </si>
  <si>
    <t>Kyrgyzstan</t>
  </si>
  <si>
    <t>Kyrgyz Republic</t>
  </si>
  <si>
    <t>Solomon Islands</t>
  </si>
  <si>
    <t>SLB</t>
  </si>
  <si>
    <t>Solomon Isds</t>
  </si>
  <si>
    <t>Mauritania</t>
  </si>
  <si>
    <t>MRT</t>
  </si>
  <si>
    <t>Pakistan</t>
  </si>
  <si>
    <t>PAK</t>
  </si>
  <si>
    <t>LSO</t>
  </si>
  <si>
    <t>Lesotho</t>
  </si>
  <si>
    <t>Senegal</t>
  </si>
  <si>
    <t>SEN</t>
  </si>
  <si>
    <t>Venezuela, RB</t>
  </si>
  <si>
    <t>VEN</t>
  </si>
  <si>
    <t>LBR</t>
  </si>
  <si>
    <t>Liberia</t>
  </si>
  <si>
    <t>Venezuela</t>
  </si>
  <si>
    <t>Tajikistan</t>
  </si>
  <si>
    <t>TJK</t>
  </si>
  <si>
    <t>Zimbabwe</t>
  </si>
  <si>
    <t>ZWE</t>
  </si>
  <si>
    <t>MDG</t>
  </si>
  <si>
    <t>Madagascar</t>
  </si>
  <si>
    <t>Sao Tome and Principe</t>
  </si>
  <si>
    <t>STP</t>
  </si>
  <si>
    <t>Zambia</t>
  </si>
  <si>
    <t>ZMB</t>
  </si>
  <si>
    <t>MWI</t>
  </si>
  <si>
    <t>Malawi</t>
  </si>
  <si>
    <t>Nepal</t>
  </si>
  <si>
    <t>NPL</t>
  </si>
  <si>
    <t>Myanmar</t>
  </si>
  <si>
    <t>MMR</t>
  </si>
  <si>
    <t>MLI</t>
  </si>
  <si>
    <t>Mali</t>
  </si>
  <si>
    <t>Timor-Leste</t>
  </si>
  <si>
    <t>TLS</t>
  </si>
  <si>
    <t>Sierra Leone</t>
  </si>
  <si>
    <t>SLE</t>
  </si>
  <si>
    <t>Tanzania</t>
  </si>
  <si>
    <t>TZA</t>
  </si>
  <si>
    <t>United Rep. of Tanzania</t>
  </si>
  <si>
    <t>Togo</t>
  </si>
  <si>
    <t>TGO</t>
  </si>
  <si>
    <t>Rwanda</t>
  </si>
  <si>
    <t>RWA</t>
  </si>
  <si>
    <t>Uganda</t>
  </si>
  <si>
    <t>UGA</t>
  </si>
  <si>
    <t>MOZ</t>
  </si>
  <si>
    <t>Mozambique</t>
  </si>
  <si>
    <t>Niger</t>
  </si>
  <si>
    <t>NER</t>
  </si>
  <si>
    <t>Sudan</t>
  </si>
  <si>
    <t>SDN</t>
  </si>
  <si>
    <t>NCL</t>
  </si>
  <si>
    <t>New Caledonia</t>
  </si>
  <si>
    <t>Somalia, Fed. Rep.</t>
  </si>
  <si>
    <t>SOM</t>
  </si>
  <si>
    <t>Somalia</t>
  </si>
  <si>
    <t>SSD</t>
  </si>
  <si>
    <t>South Sudan</t>
  </si>
  <si>
    <t>SYR</t>
  </si>
  <si>
    <t>Syria</t>
  </si>
  <si>
    <t>YEM</t>
  </si>
  <si>
    <t>Yemen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</si>
</sst>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"/>
    <numFmt numFmtId="165" formatCode="0.000000"/>
    <numFmt numFmtId="166" formatCode="0.0000"/>
  </numFmts>
  <fonts count="8">
    <font>
      <sz val="11.0"/>
      <color rgb="FF000000"/>
      <name val="Calibri"/>
      <scheme val="minor"/>
    </font>
    <font>
      <b/>
      <sz val="11.0"/>
      <color rgb="FFFFFFFF"/>
      <name val="Calibri"/>
    </font>
    <font>
      <b/>
      <sz val="14.0"/>
      <color rgb="FFFFFFFF"/>
      <name val="Calibri"/>
    </font>
    <font>
      <color theme="1"/>
      <name val="Calibri"/>
      <scheme val="minor"/>
    </font>
    <font>
      <b/>
      <sz val="11.0"/>
      <color rgb="FF1F1F1F"/>
      <name val="Calibri"/>
    </font>
    <font>
      <sz val="11.0"/>
      <color theme="1"/>
      <name val="Calibri"/>
    </font>
    <font>
      <b/>
      <sz val="11.0"/>
      <color theme="1"/>
      <name val="Cambria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0" fillId="0" fontId="3" numFmtId="0" xfId="0" applyFont="1"/>
    <xf borderId="1" fillId="4" fontId="4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7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0"/>
    </xf>
    <xf borderId="0" fillId="0" fontId="5" numFmtId="166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0" fillId="0" fontId="3" numFmtId="0" xfId="0" applyAlignment="1" applyFont="1">
      <alignment shrinkToFit="0" vertical="center" wrapText="0"/>
    </xf>
    <xf borderId="0" fillId="0" fontId="5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3">
    <tableStyle count="4" pivot="0" name="GDP Source - Filter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ep 3 Eligibil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ep 4 Resul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98" displayName="Country_Eligibility_Assessment" name="Country_Eligibility_Assessment" id="2">
  <tableColumns count="7">
    <tableColumn name="ISO3" id="1"/>
    <tableColumn name="Step 3 Country" id="2"/>
    <tableColumn name="Step 3 Score (0-100)" id="3"/>
    <tableColumn name="GDP Source Country" id="4"/>
    <tableColumn name="GDP per Capita (constant 2015 US$)" id="5"/>
    <tableColumn name="Included in Step 4" id="6"/>
    <tableColumn name="Exclusion Reason" id="7"/>
  </tableColumns>
  <tableStyleInfo name="Step 3 Eligibility-style" showColumnStripes="0" showFirstColumn="1" showLastColumn="1" showRowStripes="1"/>
</table>
</file>

<file path=xl/tables/table2.xml><?xml version="1.0" encoding="utf-8"?>
<table xmlns="http://schemas.openxmlformats.org/spreadsheetml/2006/main" ref="A1:F189" displayName="Country_GDP_Metrics" name="Country_GDP_Metrics" id="1">
  <tableColumns count="6">
    <tableColumn name="GDP Source Country" id="1"/>
    <tableColumn name="ISO3" id="2"/>
    <tableColumn name="Indicator" id="3"/>
    <tableColumn name="GDP per Capita (constant 2015 US$)" id="4"/>
    <tableColumn name="Step 3 Country" id="5"/>
    <tableColumn name="Step 3 Score (0-100)" id="6"/>
  </tableColumns>
  <tableStyleInfo name="GDP Source - Filtered-style" showColumnStripes="0" showFirstColumn="1" showLastColumn="1" showRowStripes="1"/>
</table>
</file>

<file path=xl/tables/table3.xml><?xml version="1.0" encoding="utf-8"?>
<table xmlns="http://schemas.openxmlformats.org/spreadsheetml/2006/main" ref="A1:J189" displayName="Global_Economic_Rankings" name="Global_Economic_Rankings" id="3">
  <tableColumns count="10">
    <tableColumn name="GDPpc Rank" id="1"/>
    <tableColumn name="Country" id="2"/>
    <tableColumn name="ISO3" id="3"/>
    <tableColumn name="GDP per Capita (constant 2015 US$)" id="4"/>
    <tableColumn name="ln(GDPpcᵢ)" id="5"/>
    <tableColumn name="ln(GDPpcₘᵢₙ)" id="6"/>
    <tableColumn name="ln(GDPpcₘₐₓ)" id="7"/>
    <tableColumn name="Step 4 Score (0-100)" id="8"/>
    <tableColumn name="Step 3 Score (0-100)" id="9"/>
    <tableColumn name="GDP Source Country" id="10"/>
  </tableColumns>
  <tableStyleInfo name="Step 4 Resul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7.0"/>
    <col customWidth="1" min="3" max="26" width="8.86"/>
  </cols>
  <sheetData>
    <row r="1" ht="57.0" customHeight="1">
      <c r="A1" s="2" t="s">
        <v>1</v>
      </c>
      <c r="B1" s="2"/>
    </row>
    <row r="2" ht="30.0" customHeight="1">
      <c r="A2" s="4" t="s">
        <v>4</v>
      </c>
      <c r="B2" s="5" t="s">
        <v>6</v>
      </c>
    </row>
    <row r="3" ht="30.0" customHeight="1">
      <c r="A3" s="4" t="s">
        <v>7</v>
      </c>
      <c r="B3" s="5" t="s">
        <v>8</v>
      </c>
    </row>
    <row r="4" ht="30.0" customHeight="1">
      <c r="A4" s="4" t="s">
        <v>9</v>
      </c>
      <c r="B4" s="5" t="s">
        <v>10</v>
      </c>
    </row>
    <row r="5" ht="15.75" customHeight="1">
      <c r="A5" s="4" t="s">
        <v>11</v>
      </c>
      <c r="B5" s="5" t="s">
        <v>12</v>
      </c>
    </row>
    <row r="6" ht="30.0" customHeight="1">
      <c r="A6" s="4" t="s">
        <v>13</v>
      </c>
      <c r="B6" s="5" t="s">
        <v>14</v>
      </c>
    </row>
    <row r="7" ht="15.75" customHeight="1">
      <c r="A7" s="4" t="s">
        <v>15</v>
      </c>
      <c r="B7" s="5">
        <v>197.0</v>
      </c>
    </row>
    <row r="8" ht="15.75" customHeight="1">
      <c r="A8" s="4" t="s">
        <v>16</v>
      </c>
      <c r="B8" s="5">
        <v>188.0</v>
      </c>
    </row>
    <row r="9" ht="31.5" customHeight="1">
      <c r="A9" s="4" t="s">
        <v>17</v>
      </c>
      <c r="B9" s="5">
        <v>9.0</v>
      </c>
    </row>
    <row r="10" ht="15.75" customHeight="1">
      <c r="A10" s="4" t="s">
        <v>18</v>
      </c>
      <c r="B10" s="5" t="s">
        <v>19</v>
      </c>
    </row>
    <row r="11" ht="15.75" customHeight="1">
      <c r="A11" s="4" t="s">
        <v>20</v>
      </c>
      <c r="B11" s="5" t="s">
        <v>21</v>
      </c>
    </row>
    <row r="12" ht="15.75" customHeight="1">
      <c r="A12" s="4" t="s">
        <v>22</v>
      </c>
      <c r="B12" s="5" t="s">
        <v>23</v>
      </c>
    </row>
    <row r="13" ht="30.0" customHeight="1">
      <c r="A13" s="4" t="s">
        <v>24</v>
      </c>
      <c r="B13" s="5" t="s">
        <v>25</v>
      </c>
    </row>
    <row r="14" ht="13.5" customHeight="1">
      <c r="A14" s="6" t="s">
        <v>26</v>
      </c>
      <c r="B14" s="7" t="s">
        <v>27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0.0"/>
    <col customWidth="1" min="3" max="3" width="46.0"/>
    <col customWidth="1" min="4" max="26" width="8.86"/>
  </cols>
  <sheetData>
    <row r="1" ht="15.75" customHeight="1">
      <c r="A1" s="1" t="s">
        <v>0</v>
      </c>
      <c r="B1" s="1" t="s">
        <v>2</v>
      </c>
      <c r="C1" s="1" t="s">
        <v>3</v>
      </c>
    </row>
    <row r="2" ht="13.5" customHeight="1">
      <c r="A2" s="3" t="s">
        <v>5</v>
      </c>
      <c r="B2" s="3">
        <f>COUNT('GDP Source - Filtered'!D2:D189)</f>
        <v>188</v>
      </c>
      <c r="C2" s="3" t="s">
        <v>28</v>
      </c>
    </row>
    <row r="3" ht="13.5" customHeight="1">
      <c r="A3" s="3" t="s">
        <v>29</v>
      </c>
      <c r="B3" s="8">
        <f>MIN('GDP Source - Filtered'!D2:D189)</f>
        <v>268.7008574</v>
      </c>
      <c r="C3" s="7" t="s">
        <v>30</v>
      </c>
    </row>
    <row r="4" ht="13.5" customHeight="1">
      <c r="A4" s="3" t="s">
        <v>31</v>
      </c>
      <c r="B4" s="8">
        <f>MAX('GDP Source - Filtered'!D2:D189)</f>
        <v>116513.5366</v>
      </c>
      <c r="C4" s="7" t="s">
        <v>32</v>
      </c>
    </row>
    <row r="5" ht="13.5" customHeight="1">
      <c r="A5" s="3" t="s">
        <v>33</v>
      </c>
      <c r="B5" s="9">
        <f t="shared" ref="B5:B6" si="1">LN(B3)</f>
        <v>5.593598707</v>
      </c>
      <c r="C5" s="7" t="s">
        <v>34</v>
      </c>
    </row>
    <row r="6" ht="13.5" customHeight="1">
      <c r="A6" s="3" t="s">
        <v>35</v>
      </c>
      <c r="B6" s="9">
        <f t="shared" si="1"/>
        <v>11.66576274</v>
      </c>
      <c r="C6" s="7" t="s">
        <v>36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20.57"/>
    <col customWidth="1" min="4" max="4" width="30.0"/>
    <col customWidth="1" min="5" max="5" width="23.14"/>
    <col customWidth="1" min="6" max="6" width="19.57"/>
    <col customWidth="1" min="7" max="7" width="52.0"/>
    <col customWidth="1" min="8" max="26" width="8.86"/>
  </cols>
  <sheetData>
    <row r="1" ht="31.5" customHeight="1">
      <c r="A1" s="10" t="s">
        <v>37</v>
      </c>
      <c r="B1" s="10" t="s">
        <v>39</v>
      </c>
      <c r="C1" s="10" t="s">
        <v>41</v>
      </c>
      <c r="D1" s="10" t="s">
        <v>38</v>
      </c>
      <c r="E1" s="10" t="s">
        <v>42</v>
      </c>
      <c r="F1" s="10" t="s">
        <v>43</v>
      </c>
      <c r="G1" s="10" t="s">
        <v>44</v>
      </c>
    </row>
    <row r="2" ht="13.5" customHeight="1">
      <c r="A2" s="11" t="s">
        <v>46</v>
      </c>
      <c r="B2" s="11" t="s">
        <v>48</v>
      </c>
      <c r="C2" s="12">
        <v>39.7653719919693</v>
      </c>
      <c r="D2" s="14" t="s">
        <v>48</v>
      </c>
      <c r="E2" s="13">
        <v>374.3766962</v>
      </c>
      <c r="F2" s="7" t="s">
        <v>49</v>
      </c>
      <c r="G2" s="15"/>
    </row>
    <row r="3" ht="13.5" customHeight="1">
      <c r="A3" s="11" t="s">
        <v>52</v>
      </c>
      <c r="B3" s="11" t="s">
        <v>53</v>
      </c>
      <c r="C3" s="12">
        <v>85.7615537822748</v>
      </c>
      <c r="D3" s="14" t="s">
        <v>53</v>
      </c>
      <c r="E3" s="13">
        <v>6549.233874</v>
      </c>
      <c r="F3" s="7" t="s">
        <v>49</v>
      </c>
      <c r="G3" s="15"/>
    </row>
    <row r="4" ht="13.5" customHeight="1">
      <c r="A4" s="11" t="s">
        <v>57</v>
      </c>
      <c r="B4" s="11" t="s">
        <v>59</v>
      </c>
      <c r="C4" s="12">
        <v>100.0</v>
      </c>
      <c r="D4" s="14" t="s">
        <v>59</v>
      </c>
      <c r="E4" s="13">
        <v>4765.729002</v>
      </c>
      <c r="F4" s="7" t="s">
        <v>49</v>
      </c>
      <c r="G4" s="15"/>
    </row>
    <row r="5" ht="15.0" customHeight="1">
      <c r="A5" s="11" t="s">
        <v>62</v>
      </c>
      <c r="B5" s="11" t="s">
        <v>63</v>
      </c>
      <c r="C5" s="12">
        <v>41.7479316990144</v>
      </c>
      <c r="E5" s="13"/>
      <c r="F5" s="7" t="s">
        <v>65</v>
      </c>
      <c r="G5" s="15" t="s">
        <v>67</v>
      </c>
    </row>
    <row r="6" ht="13.5" customHeight="1">
      <c r="A6" s="11" t="s">
        <v>69</v>
      </c>
      <c r="B6" s="11" t="s">
        <v>70</v>
      </c>
      <c r="C6" s="12">
        <v>100.0</v>
      </c>
      <c r="D6" s="14" t="s">
        <v>70</v>
      </c>
      <c r="E6" s="13">
        <v>2798.593928</v>
      </c>
      <c r="F6" s="7" t="s">
        <v>49</v>
      </c>
      <c r="G6" s="15"/>
    </row>
    <row r="7" ht="13.5" customHeight="1">
      <c r="A7" s="11" t="s">
        <v>74</v>
      </c>
      <c r="B7" s="11" t="s">
        <v>76</v>
      </c>
      <c r="C7" s="12">
        <v>40.1734079755723</v>
      </c>
      <c r="D7" s="14" t="s">
        <v>76</v>
      </c>
      <c r="E7" s="13">
        <v>18304.58368</v>
      </c>
      <c r="F7" s="7" t="s">
        <v>49</v>
      </c>
      <c r="G7" s="15"/>
    </row>
    <row r="8" ht="13.5" customHeight="1">
      <c r="A8" s="11" t="s">
        <v>79</v>
      </c>
      <c r="B8" s="11" t="s">
        <v>80</v>
      </c>
      <c r="C8" s="12">
        <v>100.0</v>
      </c>
      <c r="D8" s="14" t="s">
        <v>80</v>
      </c>
      <c r="E8" s="13">
        <v>12774.35066</v>
      </c>
      <c r="F8" s="7" t="s">
        <v>49</v>
      </c>
      <c r="G8" s="15"/>
    </row>
    <row r="9" ht="13.5" customHeight="1">
      <c r="A9" s="11" t="s">
        <v>84</v>
      </c>
      <c r="B9" s="11" t="s">
        <v>85</v>
      </c>
      <c r="C9" s="12">
        <v>46.5907958979981</v>
      </c>
      <c r="D9" s="14" t="s">
        <v>85</v>
      </c>
      <c r="E9" s="13">
        <v>5378.318</v>
      </c>
      <c r="F9" s="7" t="s">
        <v>49</v>
      </c>
      <c r="G9" s="15"/>
    </row>
    <row r="10" ht="13.5" customHeight="1">
      <c r="A10" s="11" t="s">
        <v>89</v>
      </c>
      <c r="B10" s="11" t="s">
        <v>91</v>
      </c>
      <c r="C10" s="12">
        <v>35.6361329294362</v>
      </c>
      <c r="D10" s="14" t="s">
        <v>91</v>
      </c>
      <c r="E10" s="13">
        <v>33938.95418</v>
      </c>
      <c r="F10" s="7" t="s">
        <v>49</v>
      </c>
      <c r="G10" s="15"/>
    </row>
    <row r="11" ht="13.5" customHeight="1">
      <c r="A11" s="11" t="s">
        <v>87</v>
      </c>
      <c r="B11" s="11" t="s">
        <v>86</v>
      </c>
      <c r="C11" s="12">
        <v>100.0</v>
      </c>
      <c r="D11" s="14" t="s">
        <v>86</v>
      </c>
      <c r="E11" s="13">
        <v>61486.38148</v>
      </c>
      <c r="F11" s="7" t="s">
        <v>49</v>
      </c>
      <c r="G11" s="15"/>
    </row>
    <row r="12" ht="13.5" customHeight="1">
      <c r="A12" s="11" t="s">
        <v>104</v>
      </c>
      <c r="B12" s="11" t="s">
        <v>105</v>
      </c>
      <c r="C12" s="12">
        <v>59.8993260482428</v>
      </c>
      <c r="D12" s="14" t="s">
        <v>105</v>
      </c>
      <c r="E12" s="13">
        <v>45958.82501</v>
      </c>
      <c r="F12" s="7" t="s">
        <v>49</v>
      </c>
      <c r="G12" s="15"/>
    </row>
    <row r="13" ht="13.5" customHeight="1">
      <c r="A13" s="11" t="s">
        <v>108</v>
      </c>
      <c r="B13" s="11" t="s">
        <v>109</v>
      </c>
      <c r="C13" s="12">
        <v>100.0</v>
      </c>
      <c r="D13" s="14" t="s">
        <v>109</v>
      </c>
      <c r="E13" s="13">
        <v>5876.032955</v>
      </c>
      <c r="F13" s="7" t="s">
        <v>49</v>
      </c>
      <c r="G13" s="15"/>
    </row>
    <row r="14" ht="13.5" customHeight="1">
      <c r="A14" s="11" t="s">
        <v>112</v>
      </c>
      <c r="B14" s="11" t="s">
        <v>113</v>
      </c>
      <c r="C14" s="12">
        <v>41.608835550613</v>
      </c>
      <c r="D14" s="14" t="s">
        <v>114</v>
      </c>
      <c r="E14" s="13">
        <v>33968.20322</v>
      </c>
      <c r="F14" s="7" t="s">
        <v>49</v>
      </c>
      <c r="G14" s="15"/>
    </row>
    <row r="15" ht="13.5" customHeight="1">
      <c r="A15" s="11" t="s">
        <v>117</v>
      </c>
      <c r="B15" s="11" t="s">
        <v>118</v>
      </c>
      <c r="C15" s="12">
        <v>100.0</v>
      </c>
      <c r="D15" s="14" t="s">
        <v>118</v>
      </c>
      <c r="E15" s="13">
        <v>25886.23932</v>
      </c>
      <c r="F15" s="7" t="s">
        <v>49</v>
      </c>
      <c r="G15" s="15"/>
    </row>
    <row r="16" ht="13.5" customHeight="1">
      <c r="A16" s="11" t="s">
        <v>122</v>
      </c>
      <c r="B16" s="11" t="s">
        <v>124</v>
      </c>
      <c r="C16" s="12">
        <v>62.4519488292087</v>
      </c>
      <c r="D16" s="14" t="s">
        <v>124</v>
      </c>
      <c r="E16" s="13">
        <v>1941.278744</v>
      </c>
      <c r="F16" s="7" t="s">
        <v>49</v>
      </c>
      <c r="G16" s="15"/>
    </row>
    <row r="17" ht="13.5" customHeight="1">
      <c r="A17" s="11" t="s">
        <v>128</v>
      </c>
      <c r="B17" s="11" t="s">
        <v>129</v>
      </c>
      <c r="C17" s="12">
        <v>49.7838915543377</v>
      </c>
      <c r="D17" s="14" t="s">
        <v>129</v>
      </c>
      <c r="E17" s="13">
        <v>22421.53336</v>
      </c>
      <c r="F17" s="7" t="s">
        <v>49</v>
      </c>
      <c r="G17" s="15"/>
    </row>
    <row r="18" ht="13.5" customHeight="1">
      <c r="A18" s="11" t="s">
        <v>132</v>
      </c>
      <c r="B18" s="11" t="s">
        <v>133</v>
      </c>
      <c r="C18" s="12">
        <v>56.1217305541521</v>
      </c>
      <c r="D18" s="14" t="s">
        <v>133</v>
      </c>
      <c r="E18" s="13">
        <v>6814.344434</v>
      </c>
      <c r="F18" s="7" t="s">
        <v>49</v>
      </c>
      <c r="G18" s="15"/>
    </row>
    <row r="19" ht="13.5" customHeight="1">
      <c r="A19" s="11" t="s">
        <v>120</v>
      </c>
      <c r="B19" s="11" t="s">
        <v>119</v>
      </c>
      <c r="C19" s="12">
        <v>53.0478847362197</v>
      </c>
      <c r="D19" s="14" t="s">
        <v>119</v>
      </c>
      <c r="E19" s="13">
        <v>45019.69897</v>
      </c>
      <c r="F19" s="7" t="s">
        <v>49</v>
      </c>
      <c r="G19" s="15"/>
    </row>
    <row r="20" ht="13.5" customHeight="1">
      <c r="A20" s="11" t="s">
        <v>140</v>
      </c>
      <c r="B20" s="11" t="s">
        <v>141</v>
      </c>
      <c r="C20" s="12">
        <v>54.2175135649105</v>
      </c>
      <c r="D20" s="14" t="s">
        <v>141</v>
      </c>
      <c r="E20" s="13">
        <v>6290.492945</v>
      </c>
      <c r="F20" s="7" t="s">
        <v>49</v>
      </c>
      <c r="G20" s="15"/>
    </row>
    <row r="21" ht="13.5" customHeight="1">
      <c r="A21" s="11" t="s">
        <v>144</v>
      </c>
      <c r="B21" s="11" t="s">
        <v>146</v>
      </c>
      <c r="C21" s="12">
        <v>37.5738819869525</v>
      </c>
      <c r="D21" s="14" t="s">
        <v>146</v>
      </c>
      <c r="E21" s="13">
        <v>1324.783126</v>
      </c>
      <c r="F21" s="7" t="s">
        <v>49</v>
      </c>
      <c r="G21" s="15"/>
    </row>
    <row r="22" ht="13.5" customHeight="1">
      <c r="A22" s="11" t="s">
        <v>47</v>
      </c>
      <c r="B22" s="11" t="s">
        <v>45</v>
      </c>
      <c r="C22" s="12">
        <v>42.2811715330861</v>
      </c>
      <c r="D22" s="14" t="s">
        <v>45</v>
      </c>
      <c r="E22" s="13">
        <v>116513.5366</v>
      </c>
      <c r="F22" s="7" t="s">
        <v>49</v>
      </c>
      <c r="G22" s="15"/>
    </row>
    <row r="23" ht="13.5" customHeight="1">
      <c r="A23" s="11" t="s">
        <v>153</v>
      </c>
      <c r="B23" s="11" t="s">
        <v>154</v>
      </c>
      <c r="C23" s="12">
        <v>76.4829196705527</v>
      </c>
      <c r="D23" s="14" t="s">
        <v>154</v>
      </c>
      <c r="E23" s="13">
        <v>3717.210531</v>
      </c>
      <c r="F23" s="7" t="s">
        <v>49</v>
      </c>
      <c r="G23" s="15"/>
    </row>
    <row r="24" ht="13.5" customHeight="1">
      <c r="A24" s="11" t="s">
        <v>155</v>
      </c>
      <c r="B24" s="11" t="s">
        <v>156</v>
      </c>
      <c r="C24" s="12">
        <v>100.0</v>
      </c>
      <c r="D24" s="14" t="s">
        <v>157</v>
      </c>
      <c r="E24" s="13">
        <v>3045.614766</v>
      </c>
      <c r="F24" s="7" t="s">
        <v>49</v>
      </c>
      <c r="G24" s="15"/>
    </row>
    <row r="25" ht="13.5" customHeight="1">
      <c r="A25" s="11" t="s">
        <v>160</v>
      </c>
      <c r="B25" s="11" t="s">
        <v>161</v>
      </c>
      <c r="C25" s="12">
        <v>82.6573222045377</v>
      </c>
      <c r="D25" s="14" t="s">
        <v>162</v>
      </c>
      <c r="E25" s="13">
        <v>6746.953665</v>
      </c>
      <c r="F25" s="7" t="s">
        <v>49</v>
      </c>
      <c r="G25" s="15"/>
    </row>
    <row r="26" ht="13.5" customHeight="1">
      <c r="A26" s="11" t="s">
        <v>165</v>
      </c>
      <c r="B26" s="11" t="s">
        <v>166</v>
      </c>
      <c r="C26" s="12">
        <v>78.1536856308319</v>
      </c>
      <c r="D26" s="14" t="s">
        <v>166</v>
      </c>
      <c r="E26" s="13">
        <v>6952.347704</v>
      </c>
      <c r="F26" s="7" t="s">
        <v>49</v>
      </c>
      <c r="G26" s="15"/>
    </row>
    <row r="27" ht="13.5" customHeight="1">
      <c r="A27" s="11" t="s">
        <v>169</v>
      </c>
      <c r="B27" s="11" t="s">
        <v>172</v>
      </c>
      <c r="C27" s="12">
        <v>100.0</v>
      </c>
      <c r="D27" s="14" t="s">
        <v>172</v>
      </c>
      <c r="E27" s="13">
        <v>9566.745187</v>
      </c>
      <c r="F27" s="7" t="s">
        <v>49</v>
      </c>
      <c r="G27" s="15"/>
    </row>
    <row r="28" ht="13.5" customHeight="1">
      <c r="A28" s="11" t="s">
        <v>168</v>
      </c>
      <c r="B28" s="11" t="s">
        <v>167</v>
      </c>
      <c r="C28" s="12">
        <v>100.0</v>
      </c>
      <c r="D28" s="14" t="s">
        <v>167</v>
      </c>
      <c r="E28" s="13">
        <v>29563.86828</v>
      </c>
      <c r="F28" s="7" t="s">
        <v>49</v>
      </c>
      <c r="G28" s="15"/>
    </row>
    <row r="29" ht="13.5" customHeight="1">
      <c r="A29" s="11" t="s">
        <v>176</v>
      </c>
      <c r="B29" s="11" t="s">
        <v>178</v>
      </c>
      <c r="C29" s="12">
        <v>72.9909638329033</v>
      </c>
      <c r="D29" s="14" t="s">
        <v>178</v>
      </c>
      <c r="E29" s="13">
        <v>10127.41526</v>
      </c>
      <c r="F29" s="7" t="s">
        <v>49</v>
      </c>
      <c r="G29" s="15"/>
    </row>
    <row r="30" ht="13.5" customHeight="1">
      <c r="A30" s="11" t="s">
        <v>181</v>
      </c>
      <c r="B30" s="11" t="s">
        <v>182</v>
      </c>
      <c r="C30" s="12">
        <v>35.1850310971961</v>
      </c>
      <c r="D30" s="14" t="s">
        <v>182</v>
      </c>
      <c r="E30" s="13">
        <v>764.0826256</v>
      </c>
      <c r="F30" s="7" t="s">
        <v>49</v>
      </c>
      <c r="G30" s="15"/>
    </row>
    <row r="31" ht="13.5" customHeight="1">
      <c r="A31" s="11" t="s">
        <v>185</v>
      </c>
      <c r="B31" s="11" t="s">
        <v>186</v>
      </c>
      <c r="C31" s="12">
        <v>40.1393985329312</v>
      </c>
      <c r="D31" s="14" t="s">
        <v>186</v>
      </c>
      <c r="E31" s="13">
        <v>268.7008574</v>
      </c>
      <c r="F31" s="7" t="s">
        <v>49</v>
      </c>
      <c r="G31" s="15"/>
    </row>
    <row r="32" ht="13.5" customHeight="1">
      <c r="A32" s="11" t="s">
        <v>189</v>
      </c>
      <c r="B32" s="11" t="s">
        <v>190</v>
      </c>
      <c r="C32" s="12">
        <v>47.8212588208467</v>
      </c>
      <c r="D32" s="14" t="s">
        <v>190</v>
      </c>
      <c r="E32" s="13">
        <v>4438.387419</v>
      </c>
      <c r="F32" s="7" t="s">
        <v>49</v>
      </c>
      <c r="G32" s="15"/>
    </row>
    <row r="33" ht="13.5" customHeight="1">
      <c r="A33" s="11" t="s">
        <v>193</v>
      </c>
      <c r="B33" s="11" t="s">
        <v>194</v>
      </c>
      <c r="C33" s="12">
        <v>47.7742708473822</v>
      </c>
      <c r="D33" s="14" t="s">
        <v>194</v>
      </c>
      <c r="E33" s="13">
        <v>2183.556824</v>
      </c>
      <c r="F33" s="7" t="s">
        <v>49</v>
      </c>
      <c r="G33" s="15"/>
    </row>
    <row r="34" ht="13.5" customHeight="1">
      <c r="A34" s="11" t="s">
        <v>198</v>
      </c>
      <c r="B34" s="11" t="s">
        <v>199</v>
      </c>
      <c r="C34" s="12">
        <v>100.0</v>
      </c>
      <c r="D34" s="14" t="s">
        <v>199</v>
      </c>
      <c r="E34" s="13">
        <v>1480.730974</v>
      </c>
      <c r="F34" s="7" t="s">
        <v>49</v>
      </c>
      <c r="G34" s="15"/>
    </row>
    <row r="35" ht="13.5" customHeight="1">
      <c r="A35" s="11" t="s">
        <v>116</v>
      </c>
      <c r="B35" s="11" t="s">
        <v>115</v>
      </c>
      <c r="C35" s="12">
        <v>100.0</v>
      </c>
      <c r="D35" s="14" t="s">
        <v>115</v>
      </c>
      <c r="E35" s="13">
        <v>45061.38646</v>
      </c>
      <c r="F35" s="7" t="s">
        <v>49</v>
      </c>
      <c r="G35" s="15"/>
    </row>
    <row r="36" ht="13.5" customHeight="1">
      <c r="A36" s="11" t="s">
        <v>61</v>
      </c>
      <c r="B36" s="11" t="s">
        <v>64</v>
      </c>
      <c r="C36" s="12">
        <v>36.3672966900065</v>
      </c>
      <c r="D36" s="14" t="s">
        <v>60</v>
      </c>
      <c r="E36" s="13">
        <v>84381.47314</v>
      </c>
      <c r="F36" s="7" t="s">
        <v>49</v>
      </c>
      <c r="G36" s="15"/>
    </row>
    <row r="37" ht="13.5" customHeight="1">
      <c r="A37" s="11" t="s">
        <v>209</v>
      </c>
      <c r="B37" s="11" t="s">
        <v>210</v>
      </c>
      <c r="C37" s="12">
        <v>34.5393619028944</v>
      </c>
      <c r="D37" s="14" t="s">
        <v>211</v>
      </c>
      <c r="E37" s="13">
        <v>389.938308</v>
      </c>
      <c r="F37" s="7" t="s">
        <v>49</v>
      </c>
      <c r="G37" s="15"/>
    </row>
    <row r="38" ht="13.5" customHeight="1">
      <c r="A38" s="11" t="s">
        <v>214</v>
      </c>
      <c r="B38" s="11" t="s">
        <v>215</v>
      </c>
      <c r="C38" s="12">
        <v>100.0</v>
      </c>
      <c r="D38" s="14" t="s">
        <v>215</v>
      </c>
      <c r="E38" s="13">
        <v>855.9993532</v>
      </c>
      <c r="F38" s="7" t="s">
        <v>49</v>
      </c>
      <c r="G38" s="15"/>
    </row>
    <row r="39" ht="13.5" customHeight="1">
      <c r="A39" s="11" t="s">
        <v>216</v>
      </c>
      <c r="B39" s="11" t="s">
        <v>218</v>
      </c>
      <c r="C39" s="12">
        <v>53.9027565756135</v>
      </c>
      <c r="D39" s="14" t="s">
        <v>218</v>
      </c>
      <c r="E39" s="13">
        <v>14616.92879</v>
      </c>
      <c r="F39" s="7" t="s">
        <v>49</v>
      </c>
      <c r="G39" s="15"/>
    </row>
    <row r="40" ht="13.5" customHeight="1">
      <c r="A40" s="11" t="s">
        <v>222</v>
      </c>
      <c r="B40" s="11" t="s">
        <v>223</v>
      </c>
      <c r="C40" s="12">
        <v>86.7935685014475</v>
      </c>
      <c r="D40" s="14" t="s">
        <v>223</v>
      </c>
      <c r="E40" s="13">
        <v>13119.10761</v>
      </c>
      <c r="F40" s="7" t="s">
        <v>49</v>
      </c>
      <c r="G40" s="15"/>
    </row>
    <row r="41" ht="13.5" customHeight="1">
      <c r="A41" s="11" t="s">
        <v>123</v>
      </c>
      <c r="B41" s="11" t="s">
        <v>125</v>
      </c>
      <c r="C41" s="12">
        <v>42.5367658794128</v>
      </c>
      <c r="D41" s="14" t="s">
        <v>121</v>
      </c>
      <c r="E41" s="13">
        <v>44734.43653</v>
      </c>
      <c r="F41" s="7" t="s">
        <v>49</v>
      </c>
      <c r="G41" s="15"/>
    </row>
    <row r="42" ht="13.5" customHeight="1">
      <c r="A42" s="11" t="s">
        <v>78</v>
      </c>
      <c r="B42" s="11" t="s">
        <v>81</v>
      </c>
      <c r="C42" s="12">
        <v>33.1456559561215</v>
      </c>
      <c r="D42" s="14" t="s">
        <v>77</v>
      </c>
      <c r="E42" s="13">
        <v>63377.29321</v>
      </c>
      <c r="F42" s="7" t="s">
        <v>49</v>
      </c>
      <c r="G42" s="15"/>
    </row>
    <row r="43" ht="13.5" customHeight="1">
      <c r="A43" s="11" t="s">
        <v>232</v>
      </c>
      <c r="B43" s="11" t="s">
        <v>233</v>
      </c>
      <c r="C43" s="12">
        <v>100.0</v>
      </c>
      <c r="D43" s="14" t="s">
        <v>233</v>
      </c>
      <c r="E43" s="13">
        <v>6865.312839</v>
      </c>
      <c r="F43" s="7" t="s">
        <v>49</v>
      </c>
      <c r="G43" s="15"/>
    </row>
    <row r="44" ht="13.5" customHeight="1">
      <c r="A44" s="11" t="s">
        <v>236</v>
      </c>
      <c r="B44" s="11" t="s">
        <v>237</v>
      </c>
      <c r="C44" s="12">
        <v>36.6262926347333</v>
      </c>
      <c r="D44" s="14" t="s">
        <v>237</v>
      </c>
      <c r="E44" s="13">
        <v>1402.526143</v>
      </c>
      <c r="F44" s="7" t="s">
        <v>49</v>
      </c>
      <c r="G44" s="15"/>
    </row>
    <row r="45" ht="13.5" customHeight="1">
      <c r="A45" s="11" t="s">
        <v>242</v>
      </c>
      <c r="B45" s="11" t="s">
        <v>243</v>
      </c>
      <c r="C45" s="12">
        <v>100.0</v>
      </c>
      <c r="D45" s="14" t="s">
        <v>245</v>
      </c>
      <c r="E45" s="13">
        <v>1671.726602</v>
      </c>
      <c r="F45" s="7" t="s">
        <v>49</v>
      </c>
      <c r="G45" s="15"/>
    </row>
    <row r="46" ht="13.5" customHeight="1">
      <c r="A46" s="11" t="s">
        <v>247</v>
      </c>
      <c r="B46" s="11" t="s">
        <v>246</v>
      </c>
      <c r="C46" s="12">
        <v>50.3476849029474</v>
      </c>
      <c r="D46" s="14" t="s">
        <v>246</v>
      </c>
      <c r="E46" s="13">
        <v>15052.91499</v>
      </c>
      <c r="F46" s="7" t="s">
        <v>49</v>
      </c>
      <c r="G46" s="15"/>
    </row>
    <row r="47" ht="13.5" customHeight="1">
      <c r="A47" s="11" t="s">
        <v>221</v>
      </c>
      <c r="B47" s="11" t="s">
        <v>220</v>
      </c>
      <c r="C47" s="12">
        <v>60.7519359748424</v>
      </c>
      <c r="D47" s="14" t="s">
        <v>220</v>
      </c>
      <c r="E47" s="13">
        <v>17854.32626</v>
      </c>
      <c r="F47" s="7" t="s">
        <v>49</v>
      </c>
      <c r="G47" s="15"/>
    </row>
    <row r="48" ht="13.5" customHeight="1">
      <c r="A48" s="11" t="s">
        <v>248</v>
      </c>
      <c r="B48" s="11" t="s">
        <v>249</v>
      </c>
      <c r="C48" s="12">
        <v>63.4771878288581</v>
      </c>
      <c r="D48" s="14" t="s">
        <v>249</v>
      </c>
      <c r="E48" s="13">
        <v>7381.39774</v>
      </c>
      <c r="F48" s="7" t="s">
        <v>49</v>
      </c>
      <c r="G48" s="15"/>
    </row>
    <row r="49" ht="13.5" customHeight="1">
      <c r="A49" s="11" t="s">
        <v>164</v>
      </c>
      <c r="B49" s="11" t="s">
        <v>163</v>
      </c>
      <c r="C49" s="12">
        <v>43.1214184157266</v>
      </c>
      <c r="D49" s="14" t="s">
        <v>163</v>
      </c>
      <c r="E49" s="13">
        <v>32757.54102</v>
      </c>
      <c r="F49" s="7" t="s">
        <v>49</v>
      </c>
      <c r="G49" s="15"/>
    </row>
    <row r="50" ht="13.5" customHeight="1">
      <c r="A50" s="11" t="s">
        <v>201</v>
      </c>
      <c r="B50" s="11" t="s">
        <v>200</v>
      </c>
      <c r="C50" s="12">
        <v>74.3325780135691</v>
      </c>
      <c r="D50" s="14" t="s">
        <v>200</v>
      </c>
      <c r="E50" s="13">
        <v>20449.11359</v>
      </c>
      <c r="F50" s="7" t="s">
        <v>49</v>
      </c>
      <c r="G50" s="15"/>
    </row>
    <row r="51" ht="13.5" customHeight="1">
      <c r="A51" s="11" t="s">
        <v>258</v>
      </c>
      <c r="B51" s="11" t="s">
        <v>260</v>
      </c>
      <c r="C51" s="12">
        <v>76.8798621300089</v>
      </c>
      <c r="D51" s="14" t="s">
        <v>261</v>
      </c>
      <c r="E51" s="13">
        <v>2395.65917</v>
      </c>
      <c r="F51" s="7" t="s">
        <v>49</v>
      </c>
      <c r="G51" s="15"/>
    </row>
    <row r="52" ht="15.0" customHeight="1">
      <c r="A52" s="11" t="s">
        <v>264</v>
      </c>
      <c r="B52" s="11" t="s">
        <v>265</v>
      </c>
      <c r="C52" s="12">
        <v>95.5075409947978</v>
      </c>
      <c r="E52" s="13"/>
      <c r="F52" s="7" t="s">
        <v>65</v>
      </c>
      <c r="G52" s="15" t="s">
        <v>67</v>
      </c>
    </row>
    <row r="53" ht="13.5" customHeight="1">
      <c r="A53" s="11" t="s">
        <v>268</v>
      </c>
      <c r="B53" s="11" t="s">
        <v>269</v>
      </c>
      <c r="C53" s="12">
        <v>85.4847996742268</v>
      </c>
      <c r="D53" s="14" t="s">
        <v>271</v>
      </c>
      <c r="E53" s="13">
        <v>554.11761</v>
      </c>
      <c r="F53" s="7" t="s">
        <v>49</v>
      </c>
      <c r="G53" s="15"/>
    </row>
    <row r="54" ht="13.5" customHeight="1">
      <c r="A54" s="11" t="s">
        <v>90</v>
      </c>
      <c r="B54" s="11" t="s">
        <v>88</v>
      </c>
      <c r="C54" s="12">
        <v>79.5295968290885</v>
      </c>
      <c r="D54" s="14" t="s">
        <v>88</v>
      </c>
      <c r="E54" s="13">
        <v>60772.86243</v>
      </c>
      <c r="F54" s="7" t="s">
        <v>49</v>
      </c>
      <c r="G54" s="15"/>
    </row>
    <row r="55" ht="13.5" customHeight="1">
      <c r="A55" s="11" t="s">
        <v>275</v>
      </c>
      <c r="B55" s="11" t="s">
        <v>276</v>
      </c>
      <c r="C55" s="12">
        <v>29.3781072889673</v>
      </c>
      <c r="D55" s="14" t="s">
        <v>276</v>
      </c>
      <c r="E55" s="13">
        <v>3290.424821</v>
      </c>
      <c r="F55" s="7" t="s">
        <v>49</v>
      </c>
      <c r="G55" s="15"/>
    </row>
    <row r="56" ht="13.5" customHeight="1">
      <c r="A56" s="11" t="s">
        <v>279</v>
      </c>
      <c r="B56" s="11" t="s">
        <v>280</v>
      </c>
      <c r="C56" s="12">
        <v>41.1032087082739</v>
      </c>
      <c r="D56" s="14" t="s">
        <v>280</v>
      </c>
      <c r="E56" s="13">
        <v>9172.710496</v>
      </c>
      <c r="F56" s="7" t="s">
        <v>49</v>
      </c>
      <c r="G56" s="15"/>
    </row>
    <row r="57" ht="13.5" customHeight="1">
      <c r="A57" s="11" t="s">
        <v>281</v>
      </c>
      <c r="B57" s="11" t="s">
        <v>282</v>
      </c>
      <c r="C57" s="12">
        <v>38.1316429276058</v>
      </c>
      <c r="D57" s="14" t="s">
        <v>283</v>
      </c>
      <c r="E57" s="13">
        <v>9168.454189</v>
      </c>
      <c r="F57" s="7" t="s">
        <v>49</v>
      </c>
      <c r="G57" s="15"/>
    </row>
    <row r="58" ht="13.5" customHeight="1">
      <c r="A58" s="11" t="s">
        <v>287</v>
      </c>
      <c r="B58" s="11" t="s">
        <v>288</v>
      </c>
      <c r="C58" s="12">
        <v>100.0</v>
      </c>
      <c r="D58" s="14" t="s">
        <v>288</v>
      </c>
      <c r="E58" s="13">
        <v>5993.746978</v>
      </c>
      <c r="F58" s="7" t="s">
        <v>49</v>
      </c>
      <c r="G58" s="15"/>
    </row>
    <row r="59" ht="13.5" customHeight="1">
      <c r="A59" s="11" t="s">
        <v>289</v>
      </c>
      <c r="B59" s="11" t="s">
        <v>290</v>
      </c>
      <c r="C59" s="12">
        <v>83.9659799062284</v>
      </c>
      <c r="D59" s="14" t="s">
        <v>291</v>
      </c>
      <c r="E59" s="13">
        <v>4137.609292</v>
      </c>
      <c r="F59" s="7" t="s">
        <v>49</v>
      </c>
      <c r="G59" s="15"/>
    </row>
    <row r="60" ht="13.5" customHeight="1">
      <c r="A60" s="11" t="s">
        <v>292</v>
      </c>
      <c r="B60" s="11" t="s">
        <v>294</v>
      </c>
      <c r="C60" s="12">
        <v>43.6756485305457</v>
      </c>
      <c r="D60" s="14" t="s">
        <v>294</v>
      </c>
      <c r="E60" s="13">
        <v>4576.558466</v>
      </c>
      <c r="F60" s="7" t="s">
        <v>49</v>
      </c>
      <c r="G60" s="15"/>
    </row>
    <row r="61" ht="13.5" customHeight="1">
      <c r="A61" s="11" t="s">
        <v>298</v>
      </c>
      <c r="B61" s="11" t="s">
        <v>299</v>
      </c>
      <c r="C61" s="12">
        <v>100.0</v>
      </c>
      <c r="D61" s="14" t="s">
        <v>299</v>
      </c>
      <c r="E61" s="13">
        <v>4892.953105</v>
      </c>
      <c r="F61" s="7" t="s">
        <v>49</v>
      </c>
      <c r="G61" s="15"/>
    </row>
    <row r="62" ht="15.0" customHeight="1">
      <c r="A62" s="11" t="s">
        <v>302</v>
      </c>
      <c r="B62" s="11" t="s">
        <v>303</v>
      </c>
      <c r="C62" s="12">
        <v>36.5307721304834</v>
      </c>
      <c r="E62" s="13"/>
      <c r="F62" s="7" t="s">
        <v>65</v>
      </c>
      <c r="G62" s="15" t="s">
        <v>67</v>
      </c>
    </row>
    <row r="63" ht="13.5" customHeight="1">
      <c r="A63" s="11" t="s">
        <v>203</v>
      </c>
      <c r="B63" s="11" t="s">
        <v>202</v>
      </c>
      <c r="C63" s="12">
        <v>57.9042242186479</v>
      </c>
      <c r="D63" s="14" t="s">
        <v>202</v>
      </c>
      <c r="E63" s="13">
        <v>20078.13976</v>
      </c>
      <c r="F63" s="7" t="s">
        <v>49</v>
      </c>
      <c r="G63" s="15"/>
    </row>
    <row r="64" ht="13.5" customHeight="1">
      <c r="A64" s="11" t="s">
        <v>309</v>
      </c>
      <c r="B64" s="11" t="s">
        <v>310</v>
      </c>
      <c r="C64" s="12">
        <v>61.9960981451985</v>
      </c>
      <c r="D64" s="14" t="s">
        <v>310</v>
      </c>
      <c r="E64" s="13">
        <v>3866.371279</v>
      </c>
      <c r="F64" s="7" t="s">
        <v>49</v>
      </c>
      <c r="G64" s="15"/>
    </row>
    <row r="65" ht="13.5" customHeight="1">
      <c r="A65" s="11" t="s">
        <v>313</v>
      </c>
      <c r="B65" s="11" t="s">
        <v>314</v>
      </c>
      <c r="C65" s="12">
        <v>51.5770239048462</v>
      </c>
      <c r="D65" s="14" t="s">
        <v>314</v>
      </c>
      <c r="E65" s="13">
        <v>883.4585886</v>
      </c>
      <c r="F65" s="7" t="s">
        <v>49</v>
      </c>
      <c r="G65" s="15"/>
    </row>
    <row r="66" ht="13.5" customHeight="1">
      <c r="A66" s="11" t="s">
        <v>315</v>
      </c>
      <c r="B66" s="11" t="s">
        <v>316</v>
      </c>
      <c r="C66" s="12">
        <v>48.5009756848208</v>
      </c>
      <c r="D66" s="14" t="s">
        <v>317</v>
      </c>
      <c r="E66" s="13">
        <v>3001.796697</v>
      </c>
      <c r="F66" s="7" t="s">
        <v>49</v>
      </c>
      <c r="G66" s="15"/>
    </row>
    <row r="67" ht="13.5" customHeight="1">
      <c r="A67" s="11" t="s">
        <v>318</v>
      </c>
      <c r="B67" s="11" t="s">
        <v>319</v>
      </c>
      <c r="C67" s="12">
        <v>45.77572570825</v>
      </c>
      <c r="D67" s="14" t="s">
        <v>319</v>
      </c>
      <c r="E67" s="13">
        <v>5935.208957</v>
      </c>
      <c r="F67" s="7" t="s">
        <v>49</v>
      </c>
      <c r="G67" s="15"/>
    </row>
    <row r="68" ht="13.5" customHeight="1">
      <c r="A68" s="11" t="s">
        <v>111</v>
      </c>
      <c r="B68" s="11" t="s">
        <v>110</v>
      </c>
      <c r="C68" s="12">
        <v>75.3101880007525</v>
      </c>
      <c r="D68" s="14" t="s">
        <v>110</v>
      </c>
      <c r="E68" s="13">
        <v>45075.16849</v>
      </c>
      <c r="F68" s="7" t="s">
        <v>49</v>
      </c>
      <c r="G68" s="15"/>
    </row>
    <row r="69" ht="13.5" customHeight="1">
      <c r="A69" s="11" t="s">
        <v>139</v>
      </c>
      <c r="B69" s="11" t="s">
        <v>138</v>
      </c>
      <c r="C69" s="12">
        <v>72.6390892006448</v>
      </c>
      <c r="D69" s="14" t="s">
        <v>138</v>
      </c>
      <c r="E69" s="13">
        <v>39683.39535</v>
      </c>
      <c r="F69" s="7" t="s">
        <v>49</v>
      </c>
      <c r="G69" s="15"/>
    </row>
    <row r="70" ht="13.5" customHeight="1">
      <c r="A70" s="11" t="s">
        <v>197</v>
      </c>
      <c r="B70" s="11" t="s">
        <v>196</v>
      </c>
      <c r="C70" s="12">
        <v>48.0871593008058</v>
      </c>
      <c r="D70" s="14" t="s">
        <v>196</v>
      </c>
      <c r="E70" s="13">
        <v>20846.65141</v>
      </c>
      <c r="F70" s="7" t="s">
        <v>49</v>
      </c>
      <c r="G70" s="15"/>
    </row>
    <row r="71" ht="13.5" customHeight="1">
      <c r="A71" s="11" t="s">
        <v>327</v>
      </c>
      <c r="B71" s="11" t="s">
        <v>326</v>
      </c>
      <c r="C71" s="12">
        <v>100.0</v>
      </c>
      <c r="D71" s="14" t="s">
        <v>326</v>
      </c>
      <c r="E71" s="13">
        <v>6618.986859</v>
      </c>
      <c r="F71" s="7" t="s">
        <v>49</v>
      </c>
      <c r="G71" s="15"/>
    </row>
    <row r="72" ht="13.5" customHeight="1">
      <c r="A72" s="11" t="s">
        <v>330</v>
      </c>
      <c r="B72" s="11" t="s">
        <v>331</v>
      </c>
      <c r="C72" s="12">
        <v>40.9657561633232</v>
      </c>
      <c r="D72" s="14" t="s">
        <v>332</v>
      </c>
      <c r="E72" s="13">
        <v>758.9658888</v>
      </c>
      <c r="F72" s="7" t="s">
        <v>49</v>
      </c>
      <c r="G72" s="15"/>
    </row>
    <row r="73" ht="13.5" customHeight="1">
      <c r="A73" s="11" t="s">
        <v>334</v>
      </c>
      <c r="B73" s="11" t="s">
        <v>333</v>
      </c>
      <c r="C73" s="12">
        <v>49.9701008219806</v>
      </c>
      <c r="D73" s="14" t="s">
        <v>333</v>
      </c>
      <c r="E73" s="13">
        <v>6606.357723</v>
      </c>
      <c r="F73" s="7" t="s">
        <v>49</v>
      </c>
      <c r="G73" s="15"/>
    </row>
    <row r="74" ht="13.5" customHeight="1">
      <c r="A74" s="11" t="s">
        <v>127</v>
      </c>
      <c r="B74" s="11" t="s">
        <v>126</v>
      </c>
      <c r="C74" s="12">
        <v>60.8571006192576</v>
      </c>
      <c r="D74" s="14" t="s">
        <v>126</v>
      </c>
      <c r="E74" s="13">
        <v>44027.76316</v>
      </c>
      <c r="F74" s="7" t="s">
        <v>49</v>
      </c>
      <c r="G74" s="15"/>
    </row>
    <row r="75" ht="13.5" customHeight="1">
      <c r="A75" s="11" t="s">
        <v>337</v>
      </c>
      <c r="B75" s="11" t="s">
        <v>338</v>
      </c>
      <c r="C75" s="12">
        <v>100.0</v>
      </c>
      <c r="D75" s="14" t="s">
        <v>338</v>
      </c>
      <c r="E75" s="13">
        <v>2173.003298</v>
      </c>
      <c r="F75" s="7" t="s">
        <v>49</v>
      </c>
      <c r="G75" s="15"/>
    </row>
    <row r="76" ht="13.5" customHeight="1">
      <c r="A76" s="11" t="s">
        <v>195</v>
      </c>
      <c r="B76" s="11" t="s">
        <v>192</v>
      </c>
      <c r="C76" s="12">
        <v>48.967701428919</v>
      </c>
      <c r="D76" s="14" t="s">
        <v>192</v>
      </c>
      <c r="E76" s="13">
        <v>21494.68561</v>
      </c>
      <c r="F76" s="7" t="s">
        <v>49</v>
      </c>
      <c r="G76" s="15"/>
    </row>
    <row r="77" ht="15.0" customHeight="1">
      <c r="A77" s="11" t="s">
        <v>339</v>
      </c>
      <c r="B77" s="11" t="s">
        <v>340</v>
      </c>
      <c r="C77" s="12">
        <v>52.5951189287257</v>
      </c>
      <c r="E77" s="13"/>
      <c r="F77" s="7" t="s">
        <v>65</v>
      </c>
      <c r="G77" s="15" t="s">
        <v>67</v>
      </c>
    </row>
    <row r="78" ht="13.5" customHeight="1">
      <c r="A78" s="11" t="s">
        <v>278</v>
      </c>
      <c r="B78" s="11" t="s">
        <v>277</v>
      </c>
      <c r="C78" s="12">
        <v>31.5889326600044</v>
      </c>
      <c r="D78" s="14" t="s">
        <v>277</v>
      </c>
      <c r="E78" s="13">
        <v>10042.65031</v>
      </c>
      <c r="F78" s="7" t="s">
        <v>49</v>
      </c>
      <c r="G78" s="15"/>
    </row>
    <row r="79" ht="15.0" customHeight="1">
      <c r="A79" s="11" t="s">
        <v>348</v>
      </c>
      <c r="B79" s="11" t="s">
        <v>349</v>
      </c>
      <c r="C79" s="12">
        <v>46.728170664026</v>
      </c>
      <c r="E79" s="13"/>
      <c r="F79" s="7" t="s">
        <v>65</v>
      </c>
      <c r="G79" s="15" t="s">
        <v>67</v>
      </c>
    </row>
    <row r="80" ht="13.5" customHeight="1">
      <c r="A80" s="11" t="s">
        <v>350</v>
      </c>
      <c r="B80" s="11" t="s">
        <v>351</v>
      </c>
      <c r="C80" s="12">
        <v>45.0832694367956</v>
      </c>
      <c r="D80" s="14" t="s">
        <v>351</v>
      </c>
      <c r="E80" s="13">
        <v>4564.213785</v>
      </c>
      <c r="F80" s="7" t="s">
        <v>49</v>
      </c>
      <c r="G80" s="15"/>
    </row>
    <row r="81" ht="13.5" customHeight="1">
      <c r="A81" s="11" t="s">
        <v>356</v>
      </c>
      <c r="B81" s="11" t="s">
        <v>357</v>
      </c>
      <c r="C81" s="12">
        <v>47.0416356640045</v>
      </c>
      <c r="D81" s="14" t="s">
        <v>357</v>
      </c>
      <c r="E81" s="13">
        <v>1045.922075</v>
      </c>
      <c r="F81" s="7" t="s">
        <v>49</v>
      </c>
      <c r="G81" s="15"/>
    </row>
    <row r="82" ht="13.5" customHeight="1">
      <c r="A82" s="11" t="s">
        <v>359</v>
      </c>
      <c r="B82" s="11" t="s">
        <v>361</v>
      </c>
      <c r="C82" s="12">
        <v>34.1794145193148</v>
      </c>
      <c r="D82" s="14" t="s">
        <v>361</v>
      </c>
      <c r="E82" s="13">
        <v>785.9102196</v>
      </c>
      <c r="F82" s="7" t="s">
        <v>49</v>
      </c>
      <c r="G82" s="15"/>
    </row>
    <row r="83" ht="13.5" customHeight="1">
      <c r="A83" s="11" t="s">
        <v>159</v>
      </c>
      <c r="B83" s="11" t="s">
        <v>158</v>
      </c>
      <c r="C83" s="12">
        <v>100.0</v>
      </c>
      <c r="D83" s="14" t="s">
        <v>158</v>
      </c>
      <c r="E83" s="13">
        <v>33034.94887</v>
      </c>
      <c r="F83" s="7" t="s">
        <v>49</v>
      </c>
      <c r="G83" s="15"/>
    </row>
    <row r="84" ht="13.5" customHeight="1">
      <c r="A84" s="11" t="s">
        <v>364</v>
      </c>
      <c r="B84" s="11" t="s">
        <v>365</v>
      </c>
      <c r="C84" s="12">
        <v>24.9972856385386</v>
      </c>
      <c r="D84" s="14" t="s">
        <v>365</v>
      </c>
      <c r="E84" s="13">
        <v>1154.688419</v>
      </c>
      <c r="F84" s="7" t="s">
        <v>49</v>
      </c>
      <c r="G84" s="15"/>
    </row>
    <row r="85" ht="13.5" customHeight="1">
      <c r="A85" s="11" t="s">
        <v>368</v>
      </c>
      <c r="B85" s="11" t="s">
        <v>369</v>
      </c>
      <c r="C85" s="12">
        <v>37.7862706254877</v>
      </c>
      <c r="D85" s="14" t="s">
        <v>369</v>
      </c>
      <c r="E85" s="13">
        <v>2575.320812</v>
      </c>
      <c r="F85" s="7" t="s">
        <v>49</v>
      </c>
      <c r="G85" s="15"/>
    </row>
    <row r="86" ht="13.5" customHeight="1">
      <c r="A86" s="11" t="s">
        <v>231</v>
      </c>
      <c r="B86" s="11" t="s">
        <v>230</v>
      </c>
      <c r="C86" s="12">
        <v>65.5114587883994</v>
      </c>
      <c r="D86" s="14" t="s">
        <v>230</v>
      </c>
      <c r="E86" s="13">
        <v>16543.10491</v>
      </c>
      <c r="F86" s="7" t="s">
        <v>49</v>
      </c>
      <c r="G86" s="15"/>
    </row>
    <row r="87" ht="13.5" customHeight="1">
      <c r="A87" s="11" t="s">
        <v>94</v>
      </c>
      <c r="B87" s="11" t="s">
        <v>93</v>
      </c>
      <c r="C87" s="12">
        <v>77.9560517815213</v>
      </c>
      <c r="D87" s="14" t="s">
        <v>93</v>
      </c>
      <c r="E87" s="13">
        <v>59053.56484</v>
      </c>
      <c r="F87" s="7" t="s">
        <v>49</v>
      </c>
      <c r="G87" s="15"/>
    </row>
    <row r="88" ht="13.5" customHeight="1">
      <c r="A88" s="11" t="s">
        <v>378</v>
      </c>
      <c r="B88" s="11" t="s">
        <v>379</v>
      </c>
      <c r="C88" s="12">
        <v>75.5225151755384</v>
      </c>
      <c r="D88" s="14" t="s">
        <v>379</v>
      </c>
      <c r="E88" s="13">
        <v>2366.832891</v>
      </c>
      <c r="F88" s="7" t="s">
        <v>49</v>
      </c>
      <c r="G88" s="15"/>
    </row>
    <row r="89" ht="13.5" customHeight="1">
      <c r="A89" s="11" t="s">
        <v>371</v>
      </c>
      <c r="B89" s="11" t="s">
        <v>370</v>
      </c>
      <c r="C89" s="12">
        <v>100.0</v>
      </c>
      <c r="D89" s="14" t="s">
        <v>370</v>
      </c>
      <c r="E89" s="13">
        <v>4367.947418</v>
      </c>
      <c r="F89" s="7" t="s">
        <v>49</v>
      </c>
      <c r="G89" s="15"/>
    </row>
    <row r="90" ht="13.5" customHeight="1">
      <c r="A90" s="11" t="s">
        <v>342</v>
      </c>
      <c r="B90" s="11" t="s">
        <v>343</v>
      </c>
      <c r="C90" s="12">
        <v>100.0</v>
      </c>
      <c r="D90" s="14" t="s">
        <v>341</v>
      </c>
      <c r="E90" s="13">
        <v>5834.442969</v>
      </c>
      <c r="F90" s="7" t="s">
        <v>49</v>
      </c>
      <c r="G90" s="15"/>
    </row>
    <row r="91" ht="13.5" customHeight="1">
      <c r="A91" s="11" t="s">
        <v>375</v>
      </c>
      <c r="B91" s="11" t="s">
        <v>374</v>
      </c>
      <c r="C91" s="12">
        <v>100.0</v>
      </c>
      <c r="D91" s="14" t="s">
        <v>374</v>
      </c>
      <c r="E91" s="13">
        <v>4180.296195</v>
      </c>
      <c r="F91" s="7" t="s">
        <v>49</v>
      </c>
      <c r="G91" s="15"/>
    </row>
    <row r="92" ht="13.5" customHeight="1">
      <c r="A92" s="11" t="s">
        <v>55</v>
      </c>
      <c r="B92" s="11" t="s">
        <v>54</v>
      </c>
      <c r="C92" s="12">
        <v>53.8042922895389</v>
      </c>
      <c r="D92" s="14" t="s">
        <v>54</v>
      </c>
      <c r="E92" s="13">
        <v>94474.98797</v>
      </c>
      <c r="F92" s="7" t="s">
        <v>49</v>
      </c>
      <c r="G92" s="15"/>
    </row>
    <row r="93" ht="13.5" customHeight="1">
      <c r="A93" s="11" t="s">
        <v>131</v>
      </c>
      <c r="B93" s="11" t="s">
        <v>130</v>
      </c>
      <c r="C93" s="12">
        <v>99.6231060642891</v>
      </c>
      <c r="D93" s="14" t="s">
        <v>130</v>
      </c>
      <c r="E93" s="13">
        <v>41882.04747</v>
      </c>
      <c r="F93" s="7" t="s">
        <v>49</v>
      </c>
      <c r="G93" s="15"/>
    </row>
    <row r="94" ht="13.5" customHeight="1">
      <c r="A94" s="11" t="s">
        <v>150</v>
      </c>
      <c r="B94" s="11" t="s">
        <v>149</v>
      </c>
      <c r="C94" s="12">
        <v>53.0808390366552</v>
      </c>
      <c r="D94" s="14" t="s">
        <v>149</v>
      </c>
      <c r="E94" s="13">
        <v>34508.12352</v>
      </c>
      <c r="F94" s="7" t="s">
        <v>49</v>
      </c>
      <c r="G94" s="15"/>
    </row>
    <row r="95" ht="13.5" customHeight="1">
      <c r="A95" s="11" t="s">
        <v>336</v>
      </c>
      <c r="B95" s="11" t="s">
        <v>335</v>
      </c>
      <c r="C95" s="12">
        <v>37.5991660155646</v>
      </c>
      <c r="D95" s="14" t="s">
        <v>335</v>
      </c>
      <c r="E95" s="13">
        <v>6096.432703</v>
      </c>
      <c r="F95" s="7" t="s">
        <v>49</v>
      </c>
      <c r="G95" s="15"/>
    </row>
    <row r="96" ht="13.5" customHeight="1">
      <c r="A96" s="11" t="s">
        <v>143</v>
      </c>
      <c r="B96" s="11" t="s">
        <v>142</v>
      </c>
      <c r="C96" s="12">
        <v>55.2414924086653</v>
      </c>
      <c r="D96" s="14" t="s">
        <v>142</v>
      </c>
      <c r="E96" s="13">
        <v>37976.63718</v>
      </c>
      <c r="F96" s="7" t="s">
        <v>49</v>
      </c>
      <c r="G96" s="15"/>
    </row>
    <row r="97" ht="13.5" customHeight="1">
      <c r="A97" s="11" t="s">
        <v>367</v>
      </c>
      <c r="B97" s="11" t="s">
        <v>366</v>
      </c>
      <c r="C97" s="12">
        <v>42.3950887820361</v>
      </c>
      <c r="D97" s="14" t="s">
        <v>366</v>
      </c>
      <c r="E97" s="13">
        <v>4441.039749</v>
      </c>
      <c r="F97" s="7" t="s">
        <v>49</v>
      </c>
      <c r="G97" s="15"/>
    </row>
    <row r="98" ht="13.5" customHeight="1">
      <c r="A98" s="11" t="s">
        <v>263</v>
      </c>
      <c r="B98" s="11" t="s">
        <v>262</v>
      </c>
      <c r="C98" s="12">
        <v>100.0</v>
      </c>
      <c r="D98" s="14" t="s">
        <v>262</v>
      </c>
      <c r="E98" s="13">
        <v>11872.78426</v>
      </c>
      <c r="F98" s="7" t="s">
        <v>49</v>
      </c>
      <c r="G98" s="15"/>
    </row>
    <row r="99" ht="13.5" customHeight="1">
      <c r="A99" s="11" t="s">
        <v>400</v>
      </c>
      <c r="B99" s="11" t="s">
        <v>401</v>
      </c>
      <c r="C99" s="12">
        <v>46.4846711596842</v>
      </c>
      <c r="D99" s="14" t="s">
        <v>401</v>
      </c>
      <c r="E99" s="13">
        <v>1858.8765</v>
      </c>
      <c r="F99" s="7" t="s">
        <v>49</v>
      </c>
      <c r="G99" s="15"/>
    </row>
    <row r="100" ht="13.5" customHeight="1">
      <c r="A100" s="11" t="s">
        <v>409</v>
      </c>
      <c r="B100" s="11" t="s">
        <v>410</v>
      </c>
      <c r="C100" s="12">
        <v>45.3174611207778</v>
      </c>
      <c r="D100" s="14" t="s">
        <v>410</v>
      </c>
      <c r="E100" s="13">
        <v>2052.812988</v>
      </c>
      <c r="F100" s="7" t="s">
        <v>49</v>
      </c>
      <c r="G100" s="15"/>
    </row>
    <row r="101" ht="13.5" customHeight="1">
      <c r="A101" s="11" t="s">
        <v>180</v>
      </c>
      <c r="B101" s="11" t="s">
        <v>179</v>
      </c>
      <c r="C101" s="12">
        <v>100.0</v>
      </c>
      <c r="D101" s="14" t="s">
        <v>179</v>
      </c>
      <c r="E101" s="13">
        <v>24140.3258</v>
      </c>
      <c r="F101" s="7" t="s">
        <v>49</v>
      </c>
      <c r="G101" s="15"/>
    </row>
    <row r="102" ht="13.5" customHeight="1">
      <c r="A102" s="11" t="s">
        <v>411</v>
      </c>
      <c r="B102" s="11" t="s">
        <v>412</v>
      </c>
      <c r="C102" s="12">
        <v>77.9589473760493</v>
      </c>
      <c r="D102" s="14" t="s">
        <v>413</v>
      </c>
      <c r="E102" s="13">
        <v>1423.586247</v>
      </c>
      <c r="F102" s="7" t="s">
        <v>49</v>
      </c>
      <c r="G102" s="15"/>
    </row>
    <row r="103" ht="13.5" customHeight="1">
      <c r="A103" s="11" t="s">
        <v>394</v>
      </c>
      <c r="B103" s="11" t="s">
        <v>395</v>
      </c>
      <c r="C103" s="12">
        <v>100.0</v>
      </c>
      <c r="D103" s="14" t="s">
        <v>393</v>
      </c>
      <c r="E103" s="13">
        <v>2721.078107</v>
      </c>
      <c r="F103" s="7" t="s">
        <v>49</v>
      </c>
      <c r="G103" s="15"/>
    </row>
    <row r="104" ht="13.5" customHeight="1">
      <c r="A104" s="11" t="s">
        <v>235</v>
      </c>
      <c r="B104" s="11" t="s">
        <v>234</v>
      </c>
      <c r="C104" s="12">
        <v>55.2617799154726</v>
      </c>
      <c r="D104" s="14" t="s">
        <v>234</v>
      </c>
      <c r="E104" s="13">
        <v>16376.25652</v>
      </c>
      <c r="F104" s="7" t="s">
        <v>49</v>
      </c>
      <c r="G104" s="15"/>
    </row>
    <row r="105" ht="13.5" customHeight="1">
      <c r="A105" s="11" t="s">
        <v>347</v>
      </c>
      <c r="B105" s="11" t="s">
        <v>346</v>
      </c>
      <c r="C105" s="12">
        <v>38.1292782956871</v>
      </c>
      <c r="D105" s="14" t="s">
        <v>346</v>
      </c>
      <c r="E105" s="13">
        <v>5391.229142</v>
      </c>
      <c r="F105" s="7" t="s">
        <v>49</v>
      </c>
      <c r="G105" s="15"/>
    </row>
    <row r="106" ht="13.5" customHeight="1">
      <c r="A106" s="11" t="s">
        <v>421</v>
      </c>
      <c r="B106" s="11" t="s">
        <v>422</v>
      </c>
      <c r="C106" s="12">
        <v>24.5636877849985</v>
      </c>
      <c r="D106" s="14" t="s">
        <v>422</v>
      </c>
      <c r="E106" s="13">
        <v>1012.593795</v>
      </c>
      <c r="F106" s="7" t="s">
        <v>49</v>
      </c>
      <c r="G106" s="15"/>
    </row>
    <row r="107" ht="13.5" customHeight="1">
      <c r="A107" s="11" t="s">
        <v>427</v>
      </c>
      <c r="B107" s="11" t="s">
        <v>428</v>
      </c>
      <c r="C107" s="12">
        <v>40.6352946569328</v>
      </c>
      <c r="D107" s="14" t="s">
        <v>428</v>
      </c>
      <c r="E107" s="13">
        <v>665.1013376</v>
      </c>
      <c r="F107" s="7" t="s">
        <v>49</v>
      </c>
      <c r="G107" s="15"/>
    </row>
    <row r="108" ht="13.5" customHeight="1">
      <c r="A108" s="11" t="s">
        <v>308</v>
      </c>
      <c r="B108" s="11" t="s">
        <v>307</v>
      </c>
      <c r="C108" s="12">
        <v>100.0</v>
      </c>
      <c r="D108" s="14" t="s">
        <v>307</v>
      </c>
      <c r="E108" s="13">
        <v>7696.080782</v>
      </c>
      <c r="F108" s="7" t="s">
        <v>49</v>
      </c>
      <c r="G108" s="15"/>
    </row>
    <row r="109" ht="13.5" customHeight="1">
      <c r="A109" s="11" t="s">
        <v>208</v>
      </c>
      <c r="B109" s="11" t="s">
        <v>207</v>
      </c>
      <c r="C109" s="12">
        <v>53.3196219239586</v>
      </c>
      <c r="D109" s="14" t="s">
        <v>207</v>
      </c>
      <c r="E109" s="13">
        <v>19205.41523</v>
      </c>
      <c r="F109" s="7" t="s">
        <v>49</v>
      </c>
      <c r="G109" s="15"/>
    </row>
    <row r="110" ht="13.5" customHeight="1">
      <c r="A110" s="11" t="s">
        <v>51</v>
      </c>
      <c r="B110" s="11" t="s">
        <v>50</v>
      </c>
      <c r="C110" s="12">
        <v>44.1548008227119</v>
      </c>
      <c r="D110" s="14" t="s">
        <v>50</v>
      </c>
      <c r="E110" s="13">
        <v>104147.1113</v>
      </c>
      <c r="F110" s="7" t="s">
        <v>49</v>
      </c>
      <c r="G110" s="15"/>
    </row>
    <row r="111" ht="13.5" customHeight="1">
      <c r="A111" s="11" t="s">
        <v>434</v>
      </c>
      <c r="B111" s="11" t="s">
        <v>435</v>
      </c>
      <c r="C111" s="12">
        <v>39.8853627405346</v>
      </c>
      <c r="D111" s="14" t="s">
        <v>435</v>
      </c>
      <c r="E111" s="13">
        <v>453.9578097</v>
      </c>
      <c r="F111" s="7" t="s">
        <v>49</v>
      </c>
      <c r="G111" s="15"/>
    </row>
    <row r="112" ht="13.5" customHeight="1">
      <c r="A112" s="11" t="s">
        <v>440</v>
      </c>
      <c r="B112" s="11" t="s">
        <v>441</v>
      </c>
      <c r="C112" s="12">
        <v>55.0787642318862</v>
      </c>
      <c r="D112" s="14" t="s">
        <v>441</v>
      </c>
      <c r="E112" s="13">
        <v>551.9515235</v>
      </c>
      <c r="F112" s="7" t="s">
        <v>49</v>
      </c>
      <c r="G112" s="15"/>
    </row>
    <row r="113" ht="13.5" customHeight="1">
      <c r="A113" s="11" t="s">
        <v>259</v>
      </c>
      <c r="B113" s="11" t="s">
        <v>257</v>
      </c>
      <c r="C113" s="12">
        <v>100.0</v>
      </c>
      <c r="D113" s="14" t="s">
        <v>257</v>
      </c>
      <c r="E113" s="13">
        <v>11883.79128</v>
      </c>
      <c r="F113" s="7" t="s">
        <v>49</v>
      </c>
      <c r="G113" s="15"/>
    </row>
    <row r="114" ht="13.5" customHeight="1">
      <c r="A114" s="11" t="s">
        <v>267</v>
      </c>
      <c r="B114" s="11" t="s">
        <v>266</v>
      </c>
      <c r="C114" s="12">
        <v>42.6206916215659</v>
      </c>
      <c r="D114" s="14" t="s">
        <v>266</v>
      </c>
      <c r="E114" s="13">
        <v>11798.79137</v>
      </c>
      <c r="F114" s="7" t="s">
        <v>49</v>
      </c>
      <c r="G114" s="15"/>
    </row>
    <row r="115" ht="13.5" customHeight="1">
      <c r="A115" s="11" t="s">
        <v>446</v>
      </c>
      <c r="B115" s="11" t="s">
        <v>447</v>
      </c>
      <c r="C115" s="12">
        <v>29.1465252556415</v>
      </c>
      <c r="D115" s="14" t="s">
        <v>447</v>
      </c>
      <c r="E115" s="13">
        <v>910.3003763</v>
      </c>
      <c r="F115" s="7" t="s">
        <v>49</v>
      </c>
      <c r="G115" s="15"/>
    </row>
    <row r="116" ht="13.5" customHeight="1">
      <c r="A116" s="11" t="s">
        <v>152</v>
      </c>
      <c r="B116" s="11" t="s">
        <v>151</v>
      </c>
      <c r="C116" s="12">
        <v>46.7157524448601</v>
      </c>
      <c r="D116" s="14" t="s">
        <v>151</v>
      </c>
      <c r="E116" s="13">
        <v>34501.78927</v>
      </c>
      <c r="F116" s="7" t="s">
        <v>49</v>
      </c>
      <c r="G116" s="15"/>
    </row>
    <row r="117" ht="13.5" customHeight="1">
      <c r="A117" s="11" t="s">
        <v>418</v>
      </c>
      <c r="B117" s="11" t="s">
        <v>417</v>
      </c>
      <c r="C117" s="12">
        <v>35.8870068714684</v>
      </c>
      <c r="D117" s="14" t="s">
        <v>417</v>
      </c>
      <c r="E117" s="13">
        <v>1692.841661</v>
      </c>
      <c r="F117" s="7" t="s">
        <v>49</v>
      </c>
      <c r="G117" s="15"/>
    </row>
    <row r="118" ht="13.5" customHeight="1">
      <c r="A118" s="11" t="s">
        <v>256</v>
      </c>
      <c r="B118" s="11" t="s">
        <v>255</v>
      </c>
      <c r="C118" s="12">
        <v>46.5430685745478</v>
      </c>
      <c r="D118" s="14" t="s">
        <v>255</v>
      </c>
      <c r="E118" s="13">
        <v>11918.80452</v>
      </c>
      <c r="F118" s="7" t="s">
        <v>49</v>
      </c>
      <c r="G118" s="15"/>
    </row>
    <row r="119" ht="13.5" customHeight="1">
      <c r="A119" s="11" t="s">
        <v>274</v>
      </c>
      <c r="B119" s="11" t="s">
        <v>273</v>
      </c>
      <c r="C119" s="12">
        <v>81.8775389147102</v>
      </c>
      <c r="D119" s="14" t="s">
        <v>273</v>
      </c>
      <c r="E119" s="13">
        <v>10284.03369</v>
      </c>
      <c r="F119" s="7" t="s">
        <v>49</v>
      </c>
      <c r="G119" s="15"/>
    </row>
    <row r="120" ht="13.5" customHeight="1">
      <c r="A120" s="11" t="s">
        <v>360</v>
      </c>
      <c r="B120" s="11" t="s">
        <v>358</v>
      </c>
      <c r="C120" s="12">
        <v>100.0</v>
      </c>
      <c r="D120" s="14" t="s">
        <v>358</v>
      </c>
      <c r="E120" s="13">
        <v>4626.796096</v>
      </c>
      <c r="F120" s="7" t="s">
        <v>49</v>
      </c>
      <c r="G120" s="15"/>
    </row>
    <row r="121" ht="13.5" customHeight="1">
      <c r="A121" s="11" t="s">
        <v>297</v>
      </c>
      <c r="B121" s="11" t="s">
        <v>296</v>
      </c>
      <c r="C121" s="12">
        <v>76.6731004276405</v>
      </c>
      <c r="D121" s="14" t="s">
        <v>296</v>
      </c>
      <c r="E121" s="13">
        <v>8540.004278</v>
      </c>
      <c r="F121" s="7" t="s">
        <v>49</v>
      </c>
      <c r="G121" s="15"/>
    </row>
    <row r="122" ht="13.5" customHeight="1">
      <c r="A122" s="11" t="s">
        <v>390</v>
      </c>
      <c r="B122" s="11" t="s">
        <v>389</v>
      </c>
      <c r="C122" s="12">
        <v>44.1237368010451</v>
      </c>
      <c r="D122" s="14" t="s">
        <v>389</v>
      </c>
      <c r="E122" s="13">
        <v>3516.154053</v>
      </c>
      <c r="F122" s="7" t="s">
        <v>49</v>
      </c>
      <c r="G122" s="15"/>
    </row>
    <row r="123" ht="13.5" customHeight="1">
      <c r="A123" s="11" t="s">
        <v>461</v>
      </c>
      <c r="B123" s="11" t="s">
        <v>462</v>
      </c>
      <c r="C123" s="12">
        <v>100.0</v>
      </c>
      <c r="D123" s="14" t="s">
        <v>462</v>
      </c>
      <c r="E123" s="13">
        <v>605.7634814</v>
      </c>
      <c r="F123" s="7" t="s">
        <v>49</v>
      </c>
      <c r="G123" s="15"/>
    </row>
    <row r="124" ht="13.5" customHeight="1">
      <c r="A124" s="11" t="s">
        <v>445</v>
      </c>
      <c r="B124" s="11" t="s">
        <v>444</v>
      </c>
      <c r="C124" s="12">
        <v>100.0</v>
      </c>
      <c r="D124" s="14" t="s">
        <v>444</v>
      </c>
      <c r="E124" s="13">
        <v>1158.479281</v>
      </c>
      <c r="F124" s="7" t="s">
        <v>49</v>
      </c>
      <c r="G124" s="15"/>
    </row>
    <row r="125" ht="13.5" customHeight="1">
      <c r="A125" s="11" t="s">
        <v>377</v>
      </c>
      <c r="B125" s="11" t="s">
        <v>376</v>
      </c>
      <c r="C125" s="12">
        <v>51.3761009362791</v>
      </c>
      <c r="D125" s="14" t="s">
        <v>376</v>
      </c>
      <c r="E125" s="13">
        <v>4032.401507</v>
      </c>
      <c r="F125" s="7" t="s">
        <v>49</v>
      </c>
      <c r="G125" s="15"/>
    </row>
    <row r="126" ht="13.5" customHeight="1">
      <c r="A126" s="11" t="s">
        <v>305</v>
      </c>
      <c r="B126" s="11" t="s">
        <v>306</v>
      </c>
      <c r="C126" s="12">
        <v>39.2831903385014</v>
      </c>
      <c r="D126" s="14" t="s">
        <v>304</v>
      </c>
      <c r="E126" s="13">
        <v>8218.724768</v>
      </c>
      <c r="F126" s="7" t="s">
        <v>49</v>
      </c>
      <c r="G126" s="15"/>
    </row>
    <row r="127" ht="13.5" customHeight="1">
      <c r="A127" s="11" t="s">
        <v>443</v>
      </c>
      <c r="B127" s="11" t="s">
        <v>442</v>
      </c>
      <c r="C127" s="12">
        <v>38.8202808656692</v>
      </c>
      <c r="D127" s="14" t="s">
        <v>442</v>
      </c>
      <c r="E127" s="13">
        <v>1179.954993</v>
      </c>
      <c r="F127" s="7" t="s">
        <v>49</v>
      </c>
      <c r="G127" s="15"/>
    </row>
    <row r="128" ht="13.5" customHeight="1">
      <c r="A128" s="11" t="s">
        <v>103</v>
      </c>
      <c r="B128" s="11" t="s">
        <v>102</v>
      </c>
      <c r="C128" s="12">
        <v>58.2090714258842</v>
      </c>
      <c r="D128" s="14" t="s">
        <v>102</v>
      </c>
      <c r="E128" s="13">
        <v>51174.89973</v>
      </c>
      <c r="F128" s="7" t="s">
        <v>49</v>
      </c>
      <c r="G128" s="15"/>
    </row>
    <row r="129" ht="15.0" customHeight="1">
      <c r="A129" s="11" t="s">
        <v>467</v>
      </c>
      <c r="B129" s="11" t="s">
        <v>468</v>
      </c>
      <c r="C129" s="12">
        <v>44.3684752368965</v>
      </c>
      <c r="E129" s="13"/>
      <c r="F129" s="7" t="s">
        <v>65</v>
      </c>
      <c r="G129" s="15" t="s">
        <v>67</v>
      </c>
    </row>
    <row r="130" ht="13.5" customHeight="1">
      <c r="A130" s="11" t="s">
        <v>137</v>
      </c>
      <c r="B130" s="11" t="s">
        <v>136</v>
      </c>
      <c r="C130" s="12">
        <v>74.5433310852798</v>
      </c>
      <c r="D130" s="14" t="s">
        <v>136</v>
      </c>
      <c r="E130" s="13">
        <v>41415.46706</v>
      </c>
      <c r="F130" s="7" t="s">
        <v>49</v>
      </c>
      <c r="G130" s="15"/>
    </row>
    <row r="131" ht="13.5" customHeight="1">
      <c r="A131" s="11" t="s">
        <v>403</v>
      </c>
      <c r="B131" s="11" t="s">
        <v>402</v>
      </c>
      <c r="C131" s="12">
        <v>42.4754148268113</v>
      </c>
      <c r="D131" s="14" t="s">
        <v>402</v>
      </c>
      <c r="E131" s="13">
        <v>2290.31992</v>
      </c>
      <c r="F131" s="7" t="s">
        <v>49</v>
      </c>
      <c r="G131" s="15"/>
    </row>
    <row r="132" ht="13.5" customHeight="1">
      <c r="A132" s="11" t="s">
        <v>464</v>
      </c>
      <c r="B132" s="11" t="s">
        <v>463</v>
      </c>
      <c r="C132" s="12">
        <v>100.0</v>
      </c>
      <c r="D132" s="14" t="s">
        <v>463</v>
      </c>
      <c r="E132" s="13">
        <v>589.0856433</v>
      </c>
      <c r="F132" s="7" t="s">
        <v>49</v>
      </c>
      <c r="G132" s="15"/>
    </row>
    <row r="133" ht="13.5" customHeight="1">
      <c r="A133" s="11" t="s">
        <v>399</v>
      </c>
      <c r="B133" s="11" t="s">
        <v>398</v>
      </c>
      <c r="C133" s="12">
        <v>100.0</v>
      </c>
      <c r="D133" s="14" t="s">
        <v>398</v>
      </c>
      <c r="E133" s="13">
        <v>2324.597024</v>
      </c>
      <c r="F133" s="7" t="s">
        <v>49</v>
      </c>
      <c r="G133" s="15"/>
    </row>
    <row r="134" ht="13.5" customHeight="1">
      <c r="A134" s="11" t="s">
        <v>325</v>
      </c>
      <c r="B134" s="11" t="s">
        <v>324</v>
      </c>
      <c r="C134" s="12">
        <v>56.4056710947356</v>
      </c>
      <c r="D134" s="14" t="s">
        <v>324</v>
      </c>
      <c r="E134" s="13">
        <v>6628.846866</v>
      </c>
      <c r="F134" s="7" t="s">
        <v>49</v>
      </c>
      <c r="G134" s="15"/>
    </row>
    <row r="135" ht="13.5" customHeight="1">
      <c r="A135" s="11" t="s">
        <v>68</v>
      </c>
      <c r="B135" s="11" t="s">
        <v>66</v>
      </c>
      <c r="C135" s="12">
        <v>100.0</v>
      </c>
      <c r="D135" s="14" t="s">
        <v>66</v>
      </c>
      <c r="E135" s="13">
        <v>83487.13323</v>
      </c>
      <c r="F135" s="7" t="s">
        <v>49</v>
      </c>
      <c r="G135" s="15"/>
    </row>
    <row r="136" ht="13.5" customHeight="1">
      <c r="A136" s="11" t="s">
        <v>225</v>
      </c>
      <c r="B136" s="11" t="s">
        <v>224</v>
      </c>
      <c r="C136" s="12">
        <v>100.0</v>
      </c>
      <c r="D136" s="14" t="s">
        <v>224</v>
      </c>
      <c r="E136" s="13">
        <v>17347.29113</v>
      </c>
      <c r="F136" s="7" t="s">
        <v>49</v>
      </c>
      <c r="G136" s="15"/>
    </row>
    <row r="137" ht="13.5" customHeight="1">
      <c r="A137" s="11" t="s">
        <v>420</v>
      </c>
      <c r="B137" s="11" t="s">
        <v>419</v>
      </c>
      <c r="C137" s="12">
        <v>72.1216147745913</v>
      </c>
      <c r="D137" s="14" t="s">
        <v>419</v>
      </c>
      <c r="E137" s="13">
        <v>1635.087312</v>
      </c>
      <c r="F137" s="7" t="s">
        <v>49</v>
      </c>
      <c r="G137" s="15"/>
    </row>
    <row r="138" ht="13.5" customHeight="1">
      <c r="A138" s="11" t="s">
        <v>227</v>
      </c>
      <c r="B138" s="11" t="s">
        <v>226</v>
      </c>
      <c r="C138" s="12">
        <v>45.6178835131961</v>
      </c>
      <c r="D138" s="14" t="s">
        <v>226</v>
      </c>
      <c r="E138" s="13">
        <v>17122.71688</v>
      </c>
      <c r="F138" s="7" t="s">
        <v>49</v>
      </c>
      <c r="G138" s="15"/>
    </row>
    <row r="139" ht="13.5" customHeight="1">
      <c r="A139" s="11" t="s">
        <v>397</v>
      </c>
      <c r="B139" s="11" t="s">
        <v>396</v>
      </c>
      <c r="C139" s="12">
        <v>100.0</v>
      </c>
      <c r="D139" s="14" t="s">
        <v>396</v>
      </c>
      <c r="E139" s="13">
        <v>2566.910671</v>
      </c>
      <c r="F139" s="7" t="s">
        <v>49</v>
      </c>
      <c r="G139" s="15"/>
    </row>
    <row r="140" ht="13.5" customHeight="1">
      <c r="A140" s="11" t="s">
        <v>323</v>
      </c>
      <c r="B140" s="11" t="s">
        <v>322</v>
      </c>
      <c r="C140" s="12">
        <v>100.0</v>
      </c>
      <c r="D140" s="14" t="s">
        <v>322</v>
      </c>
      <c r="E140" s="13">
        <v>6670.699566</v>
      </c>
      <c r="F140" s="7" t="s">
        <v>49</v>
      </c>
      <c r="G140" s="15"/>
    </row>
    <row r="141" ht="13.5" customHeight="1">
      <c r="A141" s="11" t="s">
        <v>321</v>
      </c>
      <c r="B141" s="11" t="s">
        <v>320</v>
      </c>
      <c r="C141" s="12">
        <v>96.0580530222885</v>
      </c>
      <c r="D141" s="14" t="s">
        <v>320</v>
      </c>
      <c r="E141" s="13">
        <v>6732.277738</v>
      </c>
      <c r="F141" s="7" t="s">
        <v>49</v>
      </c>
      <c r="G141" s="15"/>
    </row>
    <row r="142" ht="13.5" customHeight="1">
      <c r="A142" s="11" t="s">
        <v>385</v>
      </c>
      <c r="B142" s="11" t="s">
        <v>384</v>
      </c>
      <c r="C142" s="12">
        <v>54.5742112101539</v>
      </c>
      <c r="D142" s="14" t="s">
        <v>384</v>
      </c>
      <c r="E142" s="13">
        <v>3926.149009</v>
      </c>
      <c r="F142" s="7" t="s">
        <v>49</v>
      </c>
      <c r="G142" s="15"/>
    </row>
    <row r="143" ht="13.5" customHeight="1">
      <c r="A143" s="11" t="s">
        <v>219</v>
      </c>
      <c r="B143" s="11" t="s">
        <v>217</v>
      </c>
      <c r="C143" s="12">
        <v>71.2311800466518</v>
      </c>
      <c r="D143" s="14" t="s">
        <v>217</v>
      </c>
      <c r="E143" s="13">
        <v>18000.50346</v>
      </c>
      <c r="F143" s="7" t="s">
        <v>49</v>
      </c>
      <c r="G143" s="15"/>
    </row>
    <row r="144" ht="13.5" customHeight="1">
      <c r="A144" s="11" t="s">
        <v>184</v>
      </c>
      <c r="B144" s="11" t="s">
        <v>183</v>
      </c>
      <c r="C144" s="12">
        <v>56.0166245949782</v>
      </c>
      <c r="D144" s="14" t="s">
        <v>183</v>
      </c>
      <c r="E144" s="13">
        <v>22663.99313</v>
      </c>
      <c r="F144" s="7" t="s">
        <v>49</v>
      </c>
      <c r="G144" s="15"/>
    </row>
    <row r="145" ht="13.5" customHeight="1">
      <c r="A145" s="11" t="s">
        <v>83</v>
      </c>
      <c r="B145" s="11" t="s">
        <v>82</v>
      </c>
      <c r="C145" s="12">
        <v>100.0</v>
      </c>
      <c r="D145" s="14" t="s">
        <v>82</v>
      </c>
      <c r="E145" s="13">
        <v>62395.31133</v>
      </c>
      <c r="F145" s="7" t="s">
        <v>49</v>
      </c>
      <c r="G145" s="15"/>
    </row>
    <row r="146" ht="13.5" customHeight="1">
      <c r="A146" s="11" t="s">
        <v>147</v>
      </c>
      <c r="B146" s="11" t="s">
        <v>148</v>
      </c>
      <c r="C146" s="12">
        <v>55.9854506837962</v>
      </c>
      <c r="D146" s="14" t="s">
        <v>145</v>
      </c>
      <c r="E146" s="13">
        <v>37048.4264</v>
      </c>
      <c r="F146" s="7" t="s">
        <v>49</v>
      </c>
      <c r="G146" s="15"/>
    </row>
    <row r="147" ht="13.5" customHeight="1">
      <c r="A147" s="11" t="s">
        <v>387</v>
      </c>
      <c r="B147" s="11" t="s">
        <v>388</v>
      </c>
      <c r="C147" s="12">
        <v>37.5882466900028</v>
      </c>
      <c r="D147" s="14" t="s">
        <v>386</v>
      </c>
      <c r="E147" s="13">
        <v>3855.569404</v>
      </c>
      <c r="F147" s="7" t="s">
        <v>49</v>
      </c>
      <c r="G147" s="15"/>
    </row>
    <row r="148" ht="13.5" customHeight="1">
      <c r="A148" s="11" t="s">
        <v>251</v>
      </c>
      <c r="B148" s="11" t="s">
        <v>250</v>
      </c>
      <c r="C148" s="12">
        <v>82.3023305812618</v>
      </c>
      <c r="D148" s="14" t="s">
        <v>250</v>
      </c>
      <c r="E148" s="13">
        <v>12459.91121</v>
      </c>
      <c r="F148" s="7" t="s">
        <v>49</v>
      </c>
      <c r="G148" s="15"/>
    </row>
    <row r="149" ht="13.5" customHeight="1">
      <c r="A149" s="11" t="s">
        <v>272</v>
      </c>
      <c r="B149" s="11" t="s">
        <v>270</v>
      </c>
      <c r="C149" s="12">
        <v>100.0</v>
      </c>
      <c r="D149" s="14" t="s">
        <v>270</v>
      </c>
      <c r="E149" s="13">
        <v>11092.63379</v>
      </c>
      <c r="F149" s="7" t="s">
        <v>49</v>
      </c>
      <c r="G149" s="15"/>
    </row>
    <row r="150" ht="13.5" customHeight="1">
      <c r="A150" s="11" t="s">
        <v>458</v>
      </c>
      <c r="B150" s="11" t="s">
        <v>457</v>
      </c>
      <c r="C150" s="12">
        <v>50.2326309607348</v>
      </c>
      <c r="D150" s="14" t="s">
        <v>457</v>
      </c>
      <c r="E150" s="13">
        <v>1043.159615</v>
      </c>
      <c r="F150" s="7" t="s">
        <v>49</v>
      </c>
      <c r="G150" s="15"/>
    </row>
    <row r="151" ht="13.5" customHeight="1">
      <c r="A151" s="11" t="s">
        <v>188</v>
      </c>
      <c r="B151" s="11" t="s">
        <v>191</v>
      </c>
      <c r="C151" s="12">
        <v>43.5053757948904</v>
      </c>
      <c r="D151" s="14" t="s">
        <v>187</v>
      </c>
      <c r="E151" s="13">
        <v>21692.24064</v>
      </c>
      <c r="F151" s="7" t="s">
        <v>49</v>
      </c>
      <c r="G151" s="15"/>
    </row>
    <row r="152" ht="13.5" customHeight="1">
      <c r="A152" s="11" t="s">
        <v>253</v>
      </c>
      <c r="B152" s="11" t="s">
        <v>254</v>
      </c>
      <c r="C152" s="12">
        <v>32.5958770328586</v>
      </c>
      <c r="D152" s="14" t="s">
        <v>252</v>
      </c>
      <c r="E152" s="13">
        <v>12190.79709</v>
      </c>
      <c r="F152" s="7" t="s">
        <v>49</v>
      </c>
      <c r="G152" s="15"/>
    </row>
    <row r="153" ht="13.5" customHeight="1">
      <c r="A153" s="11" t="s">
        <v>285</v>
      </c>
      <c r="B153" s="11" t="s">
        <v>286</v>
      </c>
      <c r="C153" s="12">
        <v>43.2480054451618</v>
      </c>
      <c r="D153" s="14" t="s">
        <v>284</v>
      </c>
      <c r="E153" s="13">
        <v>9485.187712</v>
      </c>
      <c r="F153" s="7" t="s">
        <v>49</v>
      </c>
      <c r="G153" s="15"/>
    </row>
    <row r="154" ht="13.5" customHeight="1">
      <c r="A154" s="11" t="s">
        <v>353</v>
      </c>
      <c r="B154" s="11" t="s">
        <v>352</v>
      </c>
      <c r="C154" s="12">
        <v>40.4857090712705</v>
      </c>
      <c r="D154" s="14" t="s">
        <v>352</v>
      </c>
      <c r="E154" s="13">
        <v>4880.54418</v>
      </c>
      <c r="F154" s="7" t="s">
        <v>49</v>
      </c>
      <c r="G154" s="15"/>
    </row>
    <row r="155" ht="13.5" customHeight="1">
      <c r="A155" s="11" t="s">
        <v>437</v>
      </c>
      <c r="B155" s="11" t="s">
        <v>436</v>
      </c>
      <c r="C155" s="12">
        <v>29.5636101079553</v>
      </c>
      <c r="D155" s="14" t="s">
        <v>436</v>
      </c>
      <c r="E155" s="13">
        <v>1373.270821</v>
      </c>
      <c r="F155" s="7" t="s">
        <v>49</v>
      </c>
      <c r="G155" s="15"/>
    </row>
    <row r="156" ht="13.5" customHeight="1">
      <c r="A156" s="11" t="s">
        <v>177</v>
      </c>
      <c r="B156" s="11" t="s">
        <v>175</v>
      </c>
      <c r="C156" s="12">
        <v>100.0</v>
      </c>
      <c r="D156" s="14" t="s">
        <v>175</v>
      </c>
      <c r="E156" s="13">
        <v>25123.01221</v>
      </c>
      <c r="F156" s="7" t="s">
        <v>49</v>
      </c>
      <c r="G156" s="15"/>
    </row>
    <row r="157" ht="13.5" customHeight="1">
      <c r="A157" s="11" t="s">
        <v>424</v>
      </c>
      <c r="B157" s="11" t="s">
        <v>423</v>
      </c>
      <c r="C157" s="12">
        <v>44.3883093621283</v>
      </c>
      <c r="D157" s="14" t="s">
        <v>423</v>
      </c>
      <c r="E157" s="13">
        <v>1517.618388</v>
      </c>
      <c r="F157" s="7" t="s">
        <v>49</v>
      </c>
      <c r="G157" s="15"/>
    </row>
    <row r="158" ht="13.5" customHeight="1">
      <c r="A158" s="11" t="s">
        <v>295</v>
      </c>
      <c r="B158" s="11" t="s">
        <v>293</v>
      </c>
      <c r="C158" s="12">
        <v>71.4824988455505</v>
      </c>
      <c r="D158" s="14" t="s">
        <v>293</v>
      </c>
      <c r="E158" s="13">
        <v>8580.261058</v>
      </c>
      <c r="F158" s="7" t="s">
        <v>49</v>
      </c>
      <c r="G158" s="15"/>
    </row>
    <row r="159" ht="13.5" customHeight="1">
      <c r="A159" s="11" t="s">
        <v>229</v>
      </c>
      <c r="B159" s="11" t="s">
        <v>228</v>
      </c>
      <c r="C159" s="12">
        <v>34.5571866991687</v>
      </c>
      <c r="D159" s="14" t="s">
        <v>228</v>
      </c>
      <c r="E159" s="13">
        <v>16612.63749</v>
      </c>
      <c r="F159" s="7" t="s">
        <v>49</v>
      </c>
      <c r="G159" s="15"/>
    </row>
    <row r="160" ht="13.5" customHeight="1">
      <c r="A160" s="11" t="s">
        <v>451</v>
      </c>
      <c r="B160" s="11" t="s">
        <v>450</v>
      </c>
      <c r="C160" s="12">
        <v>39.8193127000302</v>
      </c>
      <c r="D160" s="14" t="s">
        <v>450</v>
      </c>
      <c r="E160" s="13">
        <v>1137.290056</v>
      </c>
      <c r="F160" s="7" t="s">
        <v>49</v>
      </c>
      <c r="G160" s="15"/>
    </row>
    <row r="161" ht="13.5" customHeight="1">
      <c r="A161" s="11" t="s">
        <v>72</v>
      </c>
      <c r="B161" s="11" t="s">
        <v>71</v>
      </c>
      <c r="C161" s="12">
        <v>49.8916208018772</v>
      </c>
      <c r="D161" s="14" t="s">
        <v>71</v>
      </c>
      <c r="E161" s="13">
        <v>68129.69604</v>
      </c>
      <c r="F161" s="7" t="s">
        <v>49</v>
      </c>
      <c r="G161" s="15"/>
    </row>
    <row r="162" ht="13.5" customHeight="1">
      <c r="A162" s="11" t="s">
        <v>205</v>
      </c>
      <c r="B162" s="11" t="s">
        <v>206</v>
      </c>
      <c r="C162" s="12">
        <v>64.721257260178</v>
      </c>
      <c r="D162" s="14" t="s">
        <v>204</v>
      </c>
      <c r="E162" s="13">
        <v>19776.17581</v>
      </c>
      <c r="F162" s="7" t="s">
        <v>49</v>
      </c>
      <c r="G162" s="15"/>
    </row>
    <row r="163" ht="13.5" customHeight="1">
      <c r="A163" s="11" t="s">
        <v>174</v>
      </c>
      <c r="B163" s="11" t="s">
        <v>173</v>
      </c>
      <c r="C163" s="12">
        <v>71.0601978319314</v>
      </c>
      <c r="D163" s="14" t="s">
        <v>173</v>
      </c>
      <c r="E163" s="13">
        <v>26134.6272</v>
      </c>
      <c r="F163" s="7" t="s">
        <v>49</v>
      </c>
      <c r="G163" s="15"/>
    </row>
    <row r="164" ht="13.5" customHeight="1">
      <c r="A164" s="11" t="s">
        <v>415</v>
      </c>
      <c r="B164" s="11" t="s">
        <v>416</v>
      </c>
      <c r="C164" s="12">
        <v>36.9324919563355</v>
      </c>
      <c r="D164" s="14" t="s">
        <v>414</v>
      </c>
      <c r="E164" s="13">
        <v>1806.383673</v>
      </c>
      <c r="F164" s="7" t="s">
        <v>49</v>
      </c>
      <c r="G164" s="15"/>
    </row>
    <row r="165" ht="13.5" customHeight="1">
      <c r="A165" s="11" t="s">
        <v>470</v>
      </c>
      <c r="B165" s="11" t="s">
        <v>471</v>
      </c>
      <c r="C165" s="12">
        <v>28.4251294112976</v>
      </c>
      <c r="D165" s="14" t="s">
        <v>469</v>
      </c>
      <c r="E165" s="13">
        <v>467.2699102</v>
      </c>
      <c r="F165" s="7" t="s">
        <v>49</v>
      </c>
      <c r="G165" s="15"/>
    </row>
    <row r="166" ht="13.5" customHeight="1">
      <c r="A166" s="11" t="s">
        <v>345</v>
      </c>
      <c r="B166" s="11" t="s">
        <v>344</v>
      </c>
      <c r="C166" s="12">
        <v>100.0</v>
      </c>
      <c r="D166" s="14" t="s">
        <v>344</v>
      </c>
      <c r="E166" s="13">
        <v>5715.475315</v>
      </c>
      <c r="F166" s="7" t="s">
        <v>49</v>
      </c>
      <c r="G166" s="15"/>
    </row>
    <row r="167" ht="15.0" customHeight="1">
      <c r="A167" s="11" t="s">
        <v>472</v>
      </c>
      <c r="B167" s="11" t="s">
        <v>473</v>
      </c>
      <c r="C167" s="12">
        <v>100.0</v>
      </c>
      <c r="E167" s="13"/>
      <c r="F167" s="7" t="s">
        <v>65</v>
      </c>
      <c r="G167" s="15" t="s">
        <v>67</v>
      </c>
    </row>
    <row r="168" ht="13.5" customHeight="1">
      <c r="A168" s="11" t="s">
        <v>171</v>
      </c>
      <c r="B168" s="11" t="s">
        <v>170</v>
      </c>
      <c r="C168" s="12">
        <v>56.2738186224025</v>
      </c>
      <c r="D168" s="14" t="s">
        <v>170</v>
      </c>
      <c r="E168" s="13">
        <v>29245.21925</v>
      </c>
      <c r="F168" s="7" t="s">
        <v>49</v>
      </c>
      <c r="G168" s="15"/>
    </row>
    <row r="169" ht="13.5" customHeight="1">
      <c r="A169" s="11" t="s">
        <v>373</v>
      </c>
      <c r="B169" s="11" t="s">
        <v>372</v>
      </c>
      <c r="C169" s="12">
        <v>50.4880541008062</v>
      </c>
      <c r="D169" s="14" t="s">
        <v>372</v>
      </c>
      <c r="E169" s="13">
        <v>4198.745137</v>
      </c>
      <c r="F169" s="7" t="s">
        <v>49</v>
      </c>
      <c r="G169" s="15"/>
    </row>
    <row r="170" ht="13.5" customHeight="1">
      <c r="A170" s="11" t="s">
        <v>405</v>
      </c>
      <c r="B170" s="11" t="s">
        <v>406</v>
      </c>
      <c r="C170" s="12">
        <v>30.1452137932443</v>
      </c>
      <c r="D170" s="14" t="s">
        <v>404</v>
      </c>
      <c r="E170" s="13">
        <v>2258.206987</v>
      </c>
      <c r="F170" s="7" t="s">
        <v>49</v>
      </c>
      <c r="G170" s="15"/>
    </row>
    <row r="171" ht="13.5" customHeight="1">
      <c r="A171" s="11" t="s">
        <v>466</v>
      </c>
      <c r="B171" s="11" t="s">
        <v>465</v>
      </c>
      <c r="C171" s="12">
        <v>62.9783195179645</v>
      </c>
      <c r="D171" s="14" t="s">
        <v>465</v>
      </c>
      <c r="E171" s="13">
        <v>578.3891602</v>
      </c>
      <c r="F171" s="7" t="s">
        <v>49</v>
      </c>
      <c r="G171" s="15"/>
    </row>
    <row r="172" ht="13.5" customHeight="1">
      <c r="A172" s="11" t="s">
        <v>312</v>
      </c>
      <c r="B172" s="11" t="s">
        <v>311</v>
      </c>
      <c r="C172" s="12">
        <v>99.8425042231228</v>
      </c>
      <c r="D172" s="14" t="s">
        <v>311</v>
      </c>
      <c r="E172" s="13">
        <v>7246.257682</v>
      </c>
      <c r="F172" s="7" t="s">
        <v>49</v>
      </c>
      <c r="G172" s="15"/>
    </row>
    <row r="173" ht="13.5" customHeight="1">
      <c r="A173" s="11" t="s">
        <v>97</v>
      </c>
      <c r="B173" s="11" t="s">
        <v>96</v>
      </c>
      <c r="C173" s="12">
        <v>81.9957695278505</v>
      </c>
      <c r="D173" s="14" t="s">
        <v>96</v>
      </c>
      <c r="E173" s="13">
        <v>54316.26193</v>
      </c>
      <c r="F173" s="7" t="s">
        <v>49</v>
      </c>
      <c r="G173" s="15"/>
    </row>
    <row r="174" ht="13.5" customHeight="1">
      <c r="A174" s="11" t="s">
        <v>58</v>
      </c>
      <c r="B174" s="11" t="s">
        <v>56</v>
      </c>
      <c r="C174" s="12">
        <v>71.7140881184614</v>
      </c>
      <c r="D174" s="14" t="s">
        <v>56</v>
      </c>
      <c r="E174" s="13">
        <v>93018.37687</v>
      </c>
      <c r="F174" s="7" t="s">
        <v>49</v>
      </c>
      <c r="G174" s="15"/>
    </row>
    <row r="175" ht="15.0" customHeight="1">
      <c r="A175" s="11" t="s">
        <v>474</v>
      </c>
      <c r="B175" s="11" t="s">
        <v>475</v>
      </c>
      <c r="C175" s="12">
        <v>74.1775317166673</v>
      </c>
      <c r="E175" s="13"/>
      <c r="F175" s="7" t="s">
        <v>65</v>
      </c>
      <c r="G175" s="15" t="s">
        <v>67</v>
      </c>
    </row>
    <row r="176" ht="13.5" customHeight="1">
      <c r="A176" s="11" t="s">
        <v>431</v>
      </c>
      <c r="B176" s="11" t="s">
        <v>430</v>
      </c>
      <c r="C176" s="12">
        <v>81.2305184808132</v>
      </c>
      <c r="D176" s="14" t="s">
        <v>430</v>
      </c>
      <c r="E176" s="13">
        <v>1496.338134</v>
      </c>
      <c r="F176" s="7" t="s">
        <v>49</v>
      </c>
      <c r="G176" s="15"/>
    </row>
    <row r="177" ht="13.5" customHeight="1">
      <c r="A177" s="11" t="s">
        <v>329</v>
      </c>
      <c r="B177" s="11" t="s">
        <v>328</v>
      </c>
      <c r="C177" s="12">
        <v>63.4803865776028</v>
      </c>
      <c r="D177" s="14" t="s">
        <v>328</v>
      </c>
      <c r="E177" s="13">
        <v>6616.585393</v>
      </c>
      <c r="F177" s="7" t="s">
        <v>49</v>
      </c>
      <c r="G177" s="15"/>
    </row>
    <row r="178" ht="13.5" customHeight="1">
      <c r="A178" s="11" t="s">
        <v>449</v>
      </c>
      <c r="B178" s="11" t="s">
        <v>448</v>
      </c>
      <c r="C178" s="12">
        <v>65.8268083550065</v>
      </c>
      <c r="D178" s="14" t="s">
        <v>448</v>
      </c>
      <c r="E178" s="13">
        <v>1149.21889</v>
      </c>
      <c r="F178" s="7" t="s">
        <v>49</v>
      </c>
      <c r="G178" s="15"/>
    </row>
    <row r="179" ht="13.5" customHeight="1">
      <c r="A179" s="11" t="s">
        <v>456</v>
      </c>
      <c r="B179" s="11" t="s">
        <v>455</v>
      </c>
      <c r="C179" s="12">
        <v>36.5908165073104</v>
      </c>
      <c r="D179" s="14" t="s">
        <v>455</v>
      </c>
      <c r="E179" s="13">
        <v>1053.816538</v>
      </c>
      <c r="F179" s="7" t="s">
        <v>49</v>
      </c>
      <c r="G179" s="15"/>
    </row>
    <row r="180" ht="13.5" customHeight="1">
      <c r="A180" s="11" t="s">
        <v>355</v>
      </c>
      <c r="B180" s="11" t="s">
        <v>354</v>
      </c>
      <c r="C180" s="12">
        <v>36.1698267021425</v>
      </c>
      <c r="D180" s="14" t="s">
        <v>354</v>
      </c>
      <c r="E180" s="13">
        <v>4779.923999</v>
      </c>
      <c r="F180" s="7" t="s">
        <v>49</v>
      </c>
      <c r="G180" s="15"/>
    </row>
    <row r="181" ht="13.5" customHeight="1">
      <c r="A181" s="11" t="s">
        <v>239</v>
      </c>
      <c r="B181" s="11" t="s">
        <v>238</v>
      </c>
      <c r="C181" s="12">
        <v>100.0</v>
      </c>
      <c r="D181" s="14" t="s">
        <v>238</v>
      </c>
      <c r="E181" s="13">
        <v>16312.48496</v>
      </c>
      <c r="F181" s="7" t="s">
        <v>49</v>
      </c>
      <c r="G181" s="15"/>
    </row>
    <row r="182" ht="13.5" customHeight="1">
      <c r="A182" s="11" t="s">
        <v>383</v>
      </c>
      <c r="B182" s="11" t="s">
        <v>382</v>
      </c>
      <c r="C182" s="12">
        <v>53.0858820526718</v>
      </c>
      <c r="D182" s="14" t="s">
        <v>382</v>
      </c>
      <c r="E182" s="13">
        <v>4006.205883</v>
      </c>
      <c r="F182" s="7" t="s">
        <v>49</v>
      </c>
      <c r="G182" s="15"/>
    </row>
    <row r="183" ht="13.5" customHeight="1">
      <c r="A183" s="11" t="s">
        <v>301</v>
      </c>
      <c r="B183" s="11" t="s">
        <v>300</v>
      </c>
      <c r="C183" s="12">
        <v>100.0</v>
      </c>
      <c r="D183" s="14" t="s">
        <v>300</v>
      </c>
      <c r="E183" s="13">
        <v>8229.672611</v>
      </c>
      <c r="F183" s="7" t="s">
        <v>49</v>
      </c>
      <c r="G183" s="15"/>
    </row>
    <row r="184" ht="13.5" customHeight="1">
      <c r="A184" s="11" t="s">
        <v>241</v>
      </c>
      <c r="B184" s="11" t="s">
        <v>244</v>
      </c>
      <c r="C184" s="12">
        <v>51.7946100135217</v>
      </c>
      <c r="D184" s="14" t="s">
        <v>240</v>
      </c>
      <c r="E184" s="13">
        <v>15395.02789</v>
      </c>
      <c r="F184" s="7" t="s">
        <v>49</v>
      </c>
      <c r="G184" s="15"/>
    </row>
    <row r="185" ht="13.5" customHeight="1">
      <c r="A185" s="11" t="s">
        <v>75</v>
      </c>
      <c r="B185" s="11" t="s">
        <v>75</v>
      </c>
      <c r="C185" s="12">
        <v>100.0</v>
      </c>
      <c r="D185" s="14" t="s">
        <v>73</v>
      </c>
      <c r="E185" s="13">
        <v>66856.51317</v>
      </c>
      <c r="F185" s="7" t="s">
        <v>49</v>
      </c>
      <c r="G185" s="15"/>
    </row>
    <row r="186" ht="13.5" customHeight="1">
      <c r="A186" s="11" t="s">
        <v>460</v>
      </c>
      <c r="B186" s="11" t="s">
        <v>459</v>
      </c>
      <c r="C186" s="12">
        <v>51.0338422192264</v>
      </c>
      <c r="D186" s="14" t="s">
        <v>459</v>
      </c>
      <c r="E186" s="13">
        <v>986.0901454</v>
      </c>
      <c r="F186" s="7" t="s">
        <v>49</v>
      </c>
      <c r="G186" s="15"/>
    </row>
    <row r="187" ht="13.5" customHeight="1">
      <c r="A187" s="11" t="s">
        <v>408</v>
      </c>
      <c r="B187" s="11" t="s">
        <v>407</v>
      </c>
      <c r="C187" s="12">
        <v>84.6649944502021</v>
      </c>
      <c r="D187" s="14" t="s">
        <v>407</v>
      </c>
      <c r="E187" s="13">
        <v>2226.058105</v>
      </c>
      <c r="F187" s="7" t="s">
        <v>49</v>
      </c>
      <c r="G187" s="15"/>
    </row>
    <row r="188" ht="13.5" customHeight="1">
      <c r="A188" s="11" t="s">
        <v>135</v>
      </c>
      <c r="B188" s="11" t="s">
        <v>134</v>
      </c>
      <c r="C188" s="12">
        <v>100.0</v>
      </c>
      <c r="D188" s="14" t="s">
        <v>134</v>
      </c>
      <c r="E188" s="13">
        <v>41605.41387</v>
      </c>
      <c r="F188" s="7" t="s">
        <v>49</v>
      </c>
      <c r="G188" s="15"/>
    </row>
    <row r="189" ht="13.5" customHeight="1">
      <c r="A189" s="11" t="s">
        <v>107</v>
      </c>
      <c r="B189" s="11" t="s">
        <v>106</v>
      </c>
      <c r="C189" s="12">
        <v>75.4706353740387</v>
      </c>
      <c r="D189" s="14" t="s">
        <v>106</v>
      </c>
      <c r="E189" s="13">
        <v>47900.96801</v>
      </c>
      <c r="F189" s="7" t="s">
        <v>49</v>
      </c>
      <c r="G189" s="15"/>
    </row>
    <row r="190" ht="13.5" customHeight="1">
      <c r="A190" s="11" t="s">
        <v>453</v>
      </c>
      <c r="B190" s="11" t="s">
        <v>454</v>
      </c>
      <c r="C190" s="12">
        <v>66.8761621688462</v>
      </c>
      <c r="D190" s="14" t="s">
        <v>452</v>
      </c>
      <c r="E190" s="13">
        <v>1120.77417</v>
      </c>
      <c r="F190" s="7" t="s">
        <v>49</v>
      </c>
      <c r="G190" s="15"/>
    </row>
    <row r="191" ht="13.5" customHeight="1">
      <c r="A191" s="11" t="s">
        <v>213</v>
      </c>
      <c r="B191" s="11" t="s">
        <v>212</v>
      </c>
      <c r="C191" s="12">
        <v>64.4571295595987</v>
      </c>
      <c r="D191" s="14" t="s">
        <v>212</v>
      </c>
      <c r="E191" s="13">
        <v>19024.12043</v>
      </c>
      <c r="F191" s="7" t="s">
        <v>49</v>
      </c>
      <c r="G191" s="15"/>
    </row>
    <row r="192" ht="13.5" customHeight="1">
      <c r="A192" s="11" t="s">
        <v>363</v>
      </c>
      <c r="B192" s="11" t="s">
        <v>362</v>
      </c>
      <c r="C192" s="12">
        <v>86.8334683176011</v>
      </c>
      <c r="D192" s="14" t="s">
        <v>362</v>
      </c>
      <c r="E192" s="13">
        <v>4477.907455</v>
      </c>
      <c r="F192" s="7" t="s">
        <v>49</v>
      </c>
      <c r="G192" s="15"/>
    </row>
    <row r="193" ht="13.5" customHeight="1">
      <c r="A193" s="11" t="s">
        <v>392</v>
      </c>
      <c r="B193" s="11" t="s">
        <v>391</v>
      </c>
      <c r="C193" s="12">
        <v>44.4086315731393</v>
      </c>
      <c r="D193" s="14" t="s">
        <v>391</v>
      </c>
      <c r="E193" s="13">
        <v>3223.85238</v>
      </c>
      <c r="F193" s="7" t="s">
        <v>49</v>
      </c>
      <c r="G193" s="15"/>
    </row>
    <row r="194" ht="13.5" customHeight="1">
      <c r="A194" s="11" t="s">
        <v>426</v>
      </c>
      <c r="B194" s="11" t="s">
        <v>429</v>
      </c>
      <c r="C194" s="12">
        <v>100.0</v>
      </c>
      <c r="D194" s="14" t="s">
        <v>425</v>
      </c>
      <c r="E194" s="13">
        <v>1501.222079</v>
      </c>
      <c r="F194" s="7" t="s">
        <v>49</v>
      </c>
      <c r="G194" s="15"/>
    </row>
    <row r="195" ht="13.5" customHeight="1">
      <c r="A195" s="11" t="s">
        <v>381</v>
      </c>
      <c r="B195" s="11" t="s">
        <v>380</v>
      </c>
      <c r="C195" s="12">
        <v>75.8678581986123</v>
      </c>
      <c r="D195" s="14" t="s">
        <v>380</v>
      </c>
      <c r="E195" s="13">
        <v>4012.507799</v>
      </c>
      <c r="F195" s="7" t="s">
        <v>49</v>
      </c>
      <c r="G195" s="15"/>
    </row>
    <row r="196" ht="15.0" customHeight="1">
      <c r="A196" s="11" t="s">
        <v>476</v>
      </c>
      <c r="B196" s="11" t="s">
        <v>477</v>
      </c>
      <c r="C196" s="12">
        <v>39.2916652147079</v>
      </c>
      <c r="E196" s="13"/>
      <c r="F196" s="7" t="s">
        <v>65</v>
      </c>
      <c r="G196" s="15" t="s">
        <v>67</v>
      </c>
    </row>
    <row r="197" ht="13.5" customHeight="1">
      <c r="A197" s="11" t="s">
        <v>439</v>
      </c>
      <c r="B197" s="11" t="s">
        <v>438</v>
      </c>
      <c r="C197" s="12">
        <v>78.1886852757817</v>
      </c>
      <c r="D197" s="14" t="s">
        <v>438</v>
      </c>
      <c r="E197" s="13">
        <v>1343.389664</v>
      </c>
      <c r="F197" s="7" t="s">
        <v>49</v>
      </c>
      <c r="G197" s="15"/>
    </row>
    <row r="198" ht="13.5" customHeight="1">
      <c r="A198" s="11" t="s">
        <v>433</v>
      </c>
      <c r="B198" s="11" t="s">
        <v>432</v>
      </c>
      <c r="C198" s="12">
        <v>81.8719902726531</v>
      </c>
      <c r="D198" s="14" t="s">
        <v>432</v>
      </c>
      <c r="E198" s="13">
        <v>1416.800655</v>
      </c>
      <c r="F198" s="7" t="s">
        <v>49</v>
      </c>
      <c r="G198" s="15"/>
    </row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F2:F198">
    <cfRule type="expression" dxfId="5" priority="1">
      <formula>F2="Yes"</formula>
    </cfRule>
  </conditionalFormatting>
  <conditionalFormatting sqref="F2:F198">
    <cfRule type="expression" dxfId="6" priority="2">
      <formula>F2="No"</formula>
    </cfRule>
  </conditionalFormatting>
  <conditionalFormatting sqref="G2:G198">
    <cfRule type="expression" dxfId="7" priority="3">
      <formula>G2&lt;&gt;""</formula>
    </cfRule>
  </conditionalFormatting>
  <dataValidations>
    <dataValidation type="custom" allowBlank="1" showDropDown="1" sqref="C2:C198 E2:E198">
      <formula1>AND(ISNUMBER(C2),(NOT(OR(NOT(ISERROR(DATEVALUE(C2))), AND(ISNUMBER(C2), LEFT(CELL("format", C2))="D")))))</formula1>
    </dataValidation>
    <dataValidation type="list" allowBlank="1" showDropDown="1" showErrorMessage="1" sqref="F2:F198">
      <formula1>"Yes,No"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0.0"/>
    <col customWidth="1" min="3" max="3" width="38.0"/>
    <col customWidth="1" min="4" max="4" width="27.43"/>
    <col customWidth="1" min="5" max="5" width="28.0"/>
    <col customWidth="1" min="6" max="6" width="20.57"/>
    <col customWidth="1" min="7" max="26" width="8.86"/>
  </cols>
  <sheetData>
    <row r="1" ht="31.5" customHeight="1">
      <c r="A1" s="10" t="s">
        <v>38</v>
      </c>
      <c r="B1" s="10" t="s">
        <v>37</v>
      </c>
      <c r="C1" s="10" t="s">
        <v>40</v>
      </c>
      <c r="D1" s="10" t="s">
        <v>42</v>
      </c>
      <c r="E1" s="10" t="s">
        <v>39</v>
      </c>
      <c r="F1" s="10" t="s">
        <v>41</v>
      </c>
    </row>
    <row r="2" ht="13.5" customHeight="1">
      <c r="A2" s="11" t="s">
        <v>45</v>
      </c>
      <c r="B2" s="11" t="s">
        <v>47</v>
      </c>
      <c r="C2" s="11" t="s">
        <v>23</v>
      </c>
      <c r="D2" s="13">
        <v>116513.5366</v>
      </c>
      <c r="E2" s="14" t="s">
        <v>45</v>
      </c>
      <c r="F2" s="12">
        <v>42.2811715330861</v>
      </c>
    </row>
    <row r="3" ht="13.5" customHeight="1">
      <c r="A3" s="11" t="s">
        <v>50</v>
      </c>
      <c r="B3" s="11" t="s">
        <v>51</v>
      </c>
      <c r="C3" s="11" t="s">
        <v>23</v>
      </c>
      <c r="D3" s="13">
        <v>104147.1113</v>
      </c>
      <c r="E3" s="14" t="s">
        <v>50</v>
      </c>
      <c r="F3" s="12">
        <v>44.1548008227119</v>
      </c>
    </row>
    <row r="4" ht="13.5" customHeight="1">
      <c r="A4" s="11" t="s">
        <v>54</v>
      </c>
      <c r="B4" s="11" t="s">
        <v>55</v>
      </c>
      <c r="C4" s="11" t="s">
        <v>23</v>
      </c>
      <c r="D4" s="13">
        <v>94474.98797</v>
      </c>
      <c r="E4" s="14" t="s">
        <v>54</v>
      </c>
      <c r="F4" s="12">
        <v>53.8042922895389</v>
      </c>
    </row>
    <row r="5" ht="13.5" customHeight="1">
      <c r="A5" s="11" t="s">
        <v>56</v>
      </c>
      <c r="B5" s="11" t="s">
        <v>58</v>
      </c>
      <c r="C5" s="11" t="s">
        <v>23</v>
      </c>
      <c r="D5" s="13">
        <v>93018.37687</v>
      </c>
      <c r="E5" s="14" t="s">
        <v>56</v>
      </c>
      <c r="F5" s="12">
        <v>71.7140881184614</v>
      </c>
    </row>
    <row r="6" ht="13.5" customHeight="1">
      <c r="A6" s="11" t="s">
        <v>60</v>
      </c>
      <c r="B6" s="11" t="s">
        <v>61</v>
      </c>
      <c r="C6" s="11" t="s">
        <v>23</v>
      </c>
      <c r="D6" s="13">
        <v>84381.47314</v>
      </c>
      <c r="E6" s="14" t="s">
        <v>64</v>
      </c>
      <c r="F6" s="12">
        <v>36.3672966900065</v>
      </c>
    </row>
    <row r="7" ht="13.5" customHeight="1">
      <c r="A7" s="11" t="s">
        <v>66</v>
      </c>
      <c r="B7" s="11" t="s">
        <v>68</v>
      </c>
      <c r="C7" s="11" t="s">
        <v>23</v>
      </c>
      <c r="D7" s="13">
        <v>83487.13323</v>
      </c>
      <c r="E7" s="14" t="s">
        <v>66</v>
      </c>
      <c r="F7" s="12">
        <v>100.0</v>
      </c>
    </row>
    <row r="8" ht="13.5" customHeight="1">
      <c r="A8" s="11" t="s">
        <v>71</v>
      </c>
      <c r="B8" s="11" t="s">
        <v>72</v>
      </c>
      <c r="C8" s="11" t="s">
        <v>23</v>
      </c>
      <c r="D8" s="13">
        <v>68129.69604</v>
      </c>
      <c r="E8" s="14" t="s">
        <v>71</v>
      </c>
      <c r="F8" s="12">
        <v>49.8916208018772</v>
      </c>
    </row>
    <row r="9" ht="13.5" customHeight="1">
      <c r="A9" s="11" t="s">
        <v>73</v>
      </c>
      <c r="B9" s="11" t="s">
        <v>75</v>
      </c>
      <c r="C9" s="11" t="s">
        <v>23</v>
      </c>
      <c r="D9" s="13">
        <v>66856.51317</v>
      </c>
      <c r="E9" s="14" t="s">
        <v>75</v>
      </c>
      <c r="F9" s="12">
        <v>100.0</v>
      </c>
    </row>
    <row r="10" ht="13.5" customHeight="1">
      <c r="A10" s="11" t="s">
        <v>77</v>
      </c>
      <c r="B10" s="11" t="s">
        <v>78</v>
      </c>
      <c r="C10" s="11" t="s">
        <v>23</v>
      </c>
      <c r="D10" s="13">
        <v>63377.29321</v>
      </c>
      <c r="E10" s="14" t="s">
        <v>81</v>
      </c>
      <c r="F10" s="12">
        <v>33.1456559561215</v>
      </c>
    </row>
    <row r="11" ht="13.5" customHeight="1">
      <c r="A11" s="11" t="s">
        <v>82</v>
      </c>
      <c r="B11" s="11" t="s">
        <v>83</v>
      </c>
      <c r="C11" s="11" t="s">
        <v>23</v>
      </c>
      <c r="D11" s="13">
        <v>62395.31133</v>
      </c>
      <c r="E11" s="14" t="s">
        <v>82</v>
      </c>
      <c r="F11" s="12">
        <v>100.0</v>
      </c>
    </row>
    <row r="12" ht="13.5" customHeight="1">
      <c r="A12" s="11" t="s">
        <v>86</v>
      </c>
      <c r="B12" s="11" t="s">
        <v>87</v>
      </c>
      <c r="C12" s="11" t="s">
        <v>23</v>
      </c>
      <c r="D12" s="13">
        <v>61486.38148</v>
      </c>
      <c r="E12" s="14" t="s">
        <v>86</v>
      </c>
      <c r="F12" s="12">
        <v>100.0</v>
      </c>
    </row>
    <row r="13" ht="13.5" customHeight="1">
      <c r="A13" s="11" t="s">
        <v>88</v>
      </c>
      <c r="B13" s="11" t="s">
        <v>90</v>
      </c>
      <c r="C13" s="11" t="s">
        <v>23</v>
      </c>
      <c r="D13" s="13">
        <v>60772.86243</v>
      </c>
      <c r="E13" s="14" t="s">
        <v>88</v>
      </c>
      <c r="F13" s="12">
        <v>79.5295968290885</v>
      </c>
    </row>
    <row r="14" ht="13.5" customHeight="1">
      <c r="A14" s="11" t="s">
        <v>93</v>
      </c>
      <c r="B14" s="11" t="s">
        <v>94</v>
      </c>
      <c r="C14" s="11" t="s">
        <v>23</v>
      </c>
      <c r="D14" s="13">
        <v>59053.56484</v>
      </c>
      <c r="E14" s="14" t="s">
        <v>93</v>
      </c>
      <c r="F14" s="12">
        <v>77.9560517815213</v>
      </c>
    </row>
    <row r="15" ht="13.5" customHeight="1">
      <c r="A15" s="11" t="s">
        <v>96</v>
      </c>
      <c r="B15" s="11" t="s">
        <v>97</v>
      </c>
      <c r="C15" s="11" t="s">
        <v>23</v>
      </c>
      <c r="D15" s="13">
        <v>54316.26193</v>
      </c>
      <c r="E15" s="14" t="s">
        <v>96</v>
      </c>
      <c r="F15" s="12">
        <v>81.9957695278505</v>
      </c>
    </row>
    <row r="16" ht="13.5" customHeight="1">
      <c r="A16" s="11" t="s">
        <v>102</v>
      </c>
      <c r="B16" s="11" t="s">
        <v>103</v>
      </c>
      <c r="C16" s="11" t="s">
        <v>23</v>
      </c>
      <c r="D16" s="13">
        <v>51174.89973</v>
      </c>
      <c r="E16" s="14" t="s">
        <v>102</v>
      </c>
      <c r="F16" s="12">
        <v>58.2090714258842</v>
      </c>
    </row>
    <row r="17" ht="13.5" customHeight="1">
      <c r="A17" s="11" t="s">
        <v>106</v>
      </c>
      <c r="B17" s="11" t="s">
        <v>107</v>
      </c>
      <c r="C17" s="11" t="s">
        <v>23</v>
      </c>
      <c r="D17" s="13">
        <v>47900.96801</v>
      </c>
      <c r="E17" s="14" t="s">
        <v>106</v>
      </c>
      <c r="F17" s="12">
        <v>75.4706353740387</v>
      </c>
    </row>
    <row r="18" ht="13.5" customHeight="1">
      <c r="A18" s="11" t="s">
        <v>105</v>
      </c>
      <c r="B18" s="11" t="s">
        <v>104</v>
      </c>
      <c r="C18" s="11" t="s">
        <v>23</v>
      </c>
      <c r="D18" s="13">
        <v>45958.82501</v>
      </c>
      <c r="E18" s="14" t="s">
        <v>105</v>
      </c>
      <c r="F18" s="12">
        <v>59.8993260482428</v>
      </c>
    </row>
    <row r="19" ht="13.5" customHeight="1">
      <c r="A19" s="11" t="s">
        <v>110</v>
      </c>
      <c r="B19" s="11" t="s">
        <v>111</v>
      </c>
      <c r="C19" s="11" t="s">
        <v>23</v>
      </c>
      <c r="D19" s="13">
        <v>45075.16849</v>
      </c>
      <c r="E19" s="14" t="s">
        <v>110</v>
      </c>
      <c r="F19" s="12">
        <v>75.3101880007525</v>
      </c>
    </row>
    <row r="20" ht="13.5" customHeight="1">
      <c r="A20" s="11" t="s">
        <v>115</v>
      </c>
      <c r="B20" s="11" t="s">
        <v>116</v>
      </c>
      <c r="C20" s="11" t="s">
        <v>23</v>
      </c>
      <c r="D20" s="13">
        <v>45061.38646</v>
      </c>
      <c r="E20" s="14" t="s">
        <v>115</v>
      </c>
      <c r="F20" s="12">
        <v>100.0</v>
      </c>
    </row>
    <row r="21" ht="13.5" customHeight="1">
      <c r="A21" s="11" t="s">
        <v>119</v>
      </c>
      <c r="B21" s="11" t="s">
        <v>120</v>
      </c>
      <c r="C21" s="11" t="s">
        <v>23</v>
      </c>
      <c r="D21" s="13">
        <v>45019.69897</v>
      </c>
      <c r="E21" s="14" t="s">
        <v>119</v>
      </c>
      <c r="F21" s="12">
        <v>53.0478847362197</v>
      </c>
    </row>
    <row r="22" ht="13.5" customHeight="1">
      <c r="A22" s="11" t="s">
        <v>121</v>
      </c>
      <c r="B22" s="11" t="s">
        <v>123</v>
      </c>
      <c r="C22" s="11" t="s">
        <v>23</v>
      </c>
      <c r="D22" s="13">
        <v>44734.43653</v>
      </c>
      <c r="E22" s="14" t="s">
        <v>125</v>
      </c>
      <c r="F22" s="12">
        <v>42.5367658794128</v>
      </c>
    </row>
    <row r="23" ht="13.5" customHeight="1">
      <c r="A23" s="11" t="s">
        <v>126</v>
      </c>
      <c r="B23" s="11" t="s">
        <v>127</v>
      </c>
      <c r="C23" s="11" t="s">
        <v>23</v>
      </c>
      <c r="D23" s="13">
        <v>44027.76316</v>
      </c>
      <c r="E23" s="14" t="s">
        <v>126</v>
      </c>
      <c r="F23" s="12">
        <v>60.8571006192576</v>
      </c>
    </row>
    <row r="24" ht="13.5" customHeight="1">
      <c r="A24" s="11" t="s">
        <v>130</v>
      </c>
      <c r="B24" s="11" t="s">
        <v>131</v>
      </c>
      <c r="C24" s="11" t="s">
        <v>23</v>
      </c>
      <c r="D24" s="13">
        <v>41882.04747</v>
      </c>
      <c r="E24" s="14" t="s">
        <v>130</v>
      </c>
      <c r="F24" s="12">
        <v>99.6231060642891</v>
      </c>
    </row>
    <row r="25" ht="13.5" customHeight="1">
      <c r="A25" s="11" t="s">
        <v>134</v>
      </c>
      <c r="B25" s="11" t="s">
        <v>135</v>
      </c>
      <c r="C25" s="11" t="s">
        <v>23</v>
      </c>
      <c r="D25" s="13">
        <v>41605.41387</v>
      </c>
      <c r="E25" s="14" t="s">
        <v>134</v>
      </c>
      <c r="F25" s="12">
        <v>100.0</v>
      </c>
    </row>
    <row r="26" ht="13.5" customHeight="1">
      <c r="A26" s="11" t="s">
        <v>136</v>
      </c>
      <c r="B26" s="11" t="s">
        <v>137</v>
      </c>
      <c r="C26" s="11" t="s">
        <v>23</v>
      </c>
      <c r="D26" s="13">
        <v>41415.46706</v>
      </c>
      <c r="E26" s="14" t="s">
        <v>136</v>
      </c>
      <c r="F26" s="12">
        <v>74.5433310852798</v>
      </c>
    </row>
    <row r="27" ht="13.5" customHeight="1">
      <c r="A27" s="11" t="s">
        <v>138</v>
      </c>
      <c r="B27" s="11" t="s">
        <v>139</v>
      </c>
      <c r="C27" s="11" t="s">
        <v>23</v>
      </c>
      <c r="D27" s="13">
        <v>39683.39535</v>
      </c>
      <c r="E27" s="14" t="s">
        <v>138</v>
      </c>
      <c r="F27" s="12">
        <v>72.6390892006448</v>
      </c>
    </row>
    <row r="28" ht="13.5" customHeight="1">
      <c r="A28" s="11" t="s">
        <v>142</v>
      </c>
      <c r="B28" s="11" t="s">
        <v>143</v>
      </c>
      <c r="C28" s="11" t="s">
        <v>23</v>
      </c>
      <c r="D28" s="13">
        <v>37976.63718</v>
      </c>
      <c r="E28" s="14" t="s">
        <v>142</v>
      </c>
      <c r="F28" s="12">
        <v>55.2414924086653</v>
      </c>
    </row>
    <row r="29" ht="13.5" customHeight="1">
      <c r="A29" s="11" t="s">
        <v>145</v>
      </c>
      <c r="B29" s="11" t="s">
        <v>147</v>
      </c>
      <c r="C29" s="11" t="s">
        <v>23</v>
      </c>
      <c r="D29" s="13">
        <v>37048.4264</v>
      </c>
      <c r="E29" s="14" t="s">
        <v>148</v>
      </c>
      <c r="F29" s="12">
        <v>55.9854506837962</v>
      </c>
    </row>
    <row r="30" ht="13.5" customHeight="1">
      <c r="A30" s="11" t="s">
        <v>149</v>
      </c>
      <c r="B30" s="11" t="s">
        <v>150</v>
      </c>
      <c r="C30" s="11" t="s">
        <v>23</v>
      </c>
      <c r="D30" s="13">
        <v>34508.12352</v>
      </c>
      <c r="E30" s="14" t="s">
        <v>149</v>
      </c>
      <c r="F30" s="12">
        <v>53.0808390366552</v>
      </c>
    </row>
    <row r="31" ht="13.5" customHeight="1">
      <c r="A31" s="11" t="s">
        <v>151</v>
      </c>
      <c r="B31" s="11" t="s">
        <v>152</v>
      </c>
      <c r="C31" s="11" t="s">
        <v>23</v>
      </c>
      <c r="D31" s="13">
        <v>34501.78927</v>
      </c>
      <c r="E31" s="14" t="s">
        <v>151</v>
      </c>
      <c r="F31" s="12">
        <v>46.7157524448601</v>
      </c>
    </row>
    <row r="32" ht="13.5" customHeight="1">
      <c r="A32" s="11" t="s">
        <v>114</v>
      </c>
      <c r="B32" s="11" t="s">
        <v>112</v>
      </c>
      <c r="C32" s="11" t="s">
        <v>23</v>
      </c>
      <c r="D32" s="13">
        <v>33968.20322</v>
      </c>
      <c r="E32" s="14" t="s">
        <v>113</v>
      </c>
      <c r="F32" s="12">
        <v>41.608835550613</v>
      </c>
    </row>
    <row r="33" ht="13.5" customHeight="1">
      <c r="A33" s="11" t="s">
        <v>91</v>
      </c>
      <c r="B33" s="11" t="s">
        <v>89</v>
      </c>
      <c r="C33" s="11" t="s">
        <v>23</v>
      </c>
      <c r="D33" s="13">
        <v>33938.95418</v>
      </c>
      <c r="E33" s="14" t="s">
        <v>91</v>
      </c>
      <c r="F33" s="12">
        <v>35.6361329294362</v>
      </c>
    </row>
    <row r="34" ht="13.5" customHeight="1">
      <c r="A34" s="11" t="s">
        <v>158</v>
      </c>
      <c r="B34" s="11" t="s">
        <v>159</v>
      </c>
      <c r="C34" s="11" t="s">
        <v>23</v>
      </c>
      <c r="D34" s="13">
        <v>33034.94887</v>
      </c>
      <c r="E34" s="14" t="s">
        <v>158</v>
      </c>
      <c r="F34" s="12">
        <v>100.0</v>
      </c>
    </row>
    <row r="35" ht="13.5" customHeight="1">
      <c r="A35" s="11" t="s">
        <v>163</v>
      </c>
      <c r="B35" s="11" t="s">
        <v>164</v>
      </c>
      <c r="C35" s="11" t="s">
        <v>23</v>
      </c>
      <c r="D35" s="13">
        <v>32757.54102</v>
      </c>
      <c r="E35" s="14" t="s">
        <v>163</v>
      </c>
      <c r="F35" s="12">
        <v>43.1214184157266</v>
      </c>
    </row>
    <row r="36" ht="13.5" customHeight="1">
      <c r="A36" s="11" t="s">
        <v>167</v>
      </c>
      <c r="B36" s="11" t="s">
        <v>168</v>
      </c>
      <c r="C36" s="11" t="s">
        <v>23</v>
      </c>
      <c r="D36" s="13">
        <v>29563.86828</v>
      </c>
      <c r="E36" s="14" t="s">
        <v>167</v>
      </c>
      <c r="F36" s="12">
        <v>100.0</v>
      </c>
    </row>
    <row r="37" ht="13.5" customHeight="1">
      <c r="A37" s="11" t="s">
        <v>170</v>
      </c>
      <c r="B37" s="11" t="s">
        <v>171</v>
      </c>
      <c r="C37" s="11" t="s">
        <v>23</v>
      </c>
      <c r="D37" s="13">
        <v>29245.21925</v>
      </c>
      <c r="E37" s="14" t="s">
        <v>170</v>
      </c>
      <c r="F37" s="12">
        <v>56.2738186224025</v>
      </c>
    </row>
    <row r="38" ht="13.5" customHeight="1">
      <c r="A38" s="11" t="s">
        <v>173</v>
      </c>
      <c r="B38" s="11" t="s">
        <v>174</v>
      </c>
      <c r="C38" s="11" t="s">
        <v>23</v>
      </c>
      <c r="D38" s="13">
        <v>26134.6272</v>
      </c>
      <c r="E38" s="14" t="s">
        <v>173</v>
      </c>
      <c r="F38" s="12">
        <v>71.0601978319314</v>
      </c>
    </row>
    <row r="39" ht="13.5" customHeight="1">
      <c r="A39" s="11" t="s">
        <v>118</v>
      </c>
      <c r="B39" s="11" t="s">
        <v>117</v>
      </c>
      <c r="C39" s="11" t="s">
        <v>23</v>
      </c>
      <c r="D39" s="13">
        <v>25886.23932</v>
      </c>
      <c r="E39" s="14" t="s">
        <v>118</v>
      </c>
      <c r="F39" s="12">
        <v>100.0</v>
      </c>
    </row>
    <row r="40" ht="13.5" customHeight="1">
      <c r="A40" s="11" t="s">
        <v>175</v>
      </c>
      <c r="B40" s="11" t="s">
        <v>177</v>
      </c>
      <c r="C40" s="11" t="s">
        <v>23</v>
      </c>
      <c r="D40" s="13">
        <v>25123.01221</v>
      </c>
      <c r="E40" s="14" t="s">
        <v>175</v>
      </c>
      <c r="F40" s="12">
        <v>100.0</v>
      </c>
    </row>
    <row r="41" ht="13.5" customHeight="1">
      <c r="A41" s="11" t="s">
        <v>179</v>
      </c>
      <c r="B41" s="11" t="s">
        <v>180</v>
      </c>
      <c r="C41" s="11" t="s">
        <v>23</v>
      </c>
      <c r="D41" s="13">
        <v>24140.3258</v>
      </c>
      <c r="E41" s="14" t="s">
        <v>179</v>
      </c>
      <c r="F41" s="12">
        <v>100.0</v>
      </c>
    </row>
    <row r="42" ht="13.5" customHeight="1">
      <c r="A42" s="11" t="s">
        <v>183</v>
      </c>
      <c r="B42" s="11" t="s">
        <v>184</v>
      </c>
      <c r="C42" s="11" t="s">
        <v>23</v>
      </c>
      <c r="D42" s="13">
        <v>22663.99313</v>
      </c>
      <c r="E42" s="14" t="s">
        <v>183</v>
      </c>
      <c r="F42" s="12">
        <v>56.0166245949782</v>
      </c>
    </row>
    <row r="43" ht="13.5" customHeight="1">
      <c r="A43" s="11" t="s">
        <v>129</v>
      </c>
      <c r="B43" s="11" t="s">
        <v>128</v>
      </c>
      <c r="C43" s="11" t="s">
        <v>23</v>
      </c>
      <c r="D43" s="13">
        <v>22421.53336</v>
      </c>
      <c r="E43" s="14" t="s">
        <v>129</v>
      </c>
      <c r="F43" s="12">
        <v>49.7838915543377</v>
      </c>
    </row>
    <row r="44" ht="13.5" customHeight="1">
      <c r="A44" s="11" t="s">
        <v>187</v>
      </c>
      <c r="B44" s="11" t="s">
        <v>188</v>
      </c>
      <c r="C44" s="11" t="s">
        <v>23</v>
      </c>
      <c r="D44" s="13">
        <v>21692.24064</v>
      </c>
      <c r="E44" s="14" t="s">
        <v>191</v>
      </c>
      <c r="F44" s="12">
        <v>43.5053757948904</v>
      </c>
    </row>
    <row r="45" ht="13.5" customHeight="1">
      <c r="A45" s="11" t="s">
        <v>192</v>
      </c>
      <c r="B45" s="11" t="s">
        <v>195</v>
      </c>
      <c r="C45" s="11" t="s">
        <v>23</v>
      </c>
      <c r="D45" s="13">
        <v>21494.68561</v>
      </c>
      <c r="E45" s="14" t="s">
        <v>192</v>
      </c>
      <c r="F45" s="12">
        <v>48.967701428919</v>
      </c>
    </row>
    <row r="46" ht="13.5" customHeight="1">
      <c r="A46" s="11" t="s">
        <v>196</v>
      </c>
      <c r="B46" s="11" t="s">
        <v>197</v>
      </c>
      <c r="C46" s="11" t="s">
        <v>23</v>
      </c>
      <c r="D46" s="13">
        <v>20846.65141</v>
      </c>
      <c r="E46" s="14" t="s">
        <v>196</v>
      </c>
      <c r="F46" s="12">
        <v>48.0871593008058</v>
      </c>
    </row>
    <row r="47" ht="13.5" customHeight="1">
      <c r="A47" s="11" t="s">
        <v>200</v>
      </c>
      <c r="B47" s="11" t="s">
        <v>201</v>
      </c>
      <c r="C47" s="11" t="s">
        <v>23</v>
      </c>
      <c r="D47" s="13">
        <v>20449.11359</v>
      </c>
      <c r="E47" s="14" t="s">
        <v>200</v>
      </c>
      <c r="F47" s="12">
        <v>74.3325780135691</v>
      </c>
    </row>
    <row r="48" ht="13.5" customHeight="1">
      <c r="A48" s="11" t="s">
        <v>202</v>
      </c>
      <c r="B48" s="11" t="s">
        <v>203</v>
      </c>
      <c r="C48" s="11" t="s">
        <v>23</v>
      </c>
      <c r="D48" s="13">
        <v>20078.13976</v>
      </c>
      <c r="E48" s="14" t="s">
        <v>202</v>
      </c>
      <c r="F48" s="12">
        <v>57.9042242186479</v>
      </c>
    </row>
    <row r="49" ht="13.5" customHeight="1">
      <c r="A49" s="11" t="s">
        <v>204</v>
      </c>
      <c r="B49" s="11" t="s">
        <v>205</v>
      </c>
      <c r="C49" s="11" t="s">
        <v>23</v>
      </c>
      <c r="D49" s="13">
        <v>19776.17581</v>
      </c>
      <c r="E49" s="14" t="s">
        <v>206</v>
      </c>
      <c r="F49" s="12">
        <v>64.721257260178</v>
      </c>
    </row>
    <row r="50" ht="13.5" customHeight="1">
      <c r="A50" s="11" t="s">
        <v>207</v>
      </c>
      <c r="B50" s="11" t="s">
        <v>208</v>
      </c>
      <c r="C50" s="11" t="s">
        <v>23</v>
      </c>
      <c r="D50" s="13">
        <v>19205.41523</v>
      </c>
      <c r="E50" s="14" t="s">
        <v>207</v>
      </c>
      <c r="F50" s="12">
        <v>53.3196219239586</v>
      </c>
    </row>
    <row r="51" ht="13.5" customHeight="1">
      <c r="A51" s="11" t="s">
        <v>212</v>
      </c>
      <c r="B51" s="11" t="s">
        <v>213</v>
      </c>
      <c r="C51" s="11" t="s">
        <v>23</v>
      </c>
      <c r="D51" s="13">
        <v>19024.12043</v>
      </c>
      <c r="E51" s="14" t="s">
        <v>212</v>
      </c>
      <c r="F51" s="12">
        <v>64.4571295595987</v>
      </c>
    </row>
    <row r="52" ht="13.5" customHeight="1">
      <c r="A52" s="11" t="s">
        <v>76</v>
      </c>
      <c r="B52" s="11" t="s">
        <v>74</v>
      </c>
      <c r="C52" s="11" t="s">
        <v>23</v>
      </c>
      <c r="D52" s="13">
        <v>18304.58368</v>
      </c>
      <c r="E52" s="14" t="s">
        <v>76</v>
      </c>
      <c r="F52" s="12">
        <v>40.1734079755723</v>
      </c>
    </row>
    <row r="53" ht="13.5" customHeight="1">
      <c r="A53" s="11" t="s">
        <v>217</v>
      </c>
      <c r="B53" s="11" t="s">
        <v>219</v>
      </c>
      <c r="C53" s="11" t="s">
        <v>23</v>
      </c>
      <c r="D53" s="13">
        <v>18000.50346</v>
      </c>
      <c r="E53" s="14" t="s">
        <v>217</v>
      </c>
      <c r="F53" s="12">
        <v>71.2311800466518</v>
      </c>
    </row>
    <row r="54" ht="13.5" customHeight="1">
      <c r="A54" s="11" t="s">
        <v>220</v>
      </c>
      <c r="B54" s="11" t="s">
        <v>221</v>
      </c>
      <c r="C54" s="11" t="s">
        <v>23</v>
      </c>
      <c r="D54" s="13">
        <v>17854.32626</v>
      </c>
      <c r="E54" s="14" t="s">
        <v>220</v>
      </c>
      <c r="F54" s="12">
        <v>60.7519359748424</v>
      </c>
    </row>
    <row r="55" ht="13.5" customHeight="1">
      <c r="A55" s="11" t="s">
        <v>224</v>
      </c>
      <c r="B55" s="11" t="s">
        <v>225</v>
      </c>
      <c r="C55" s="11" t="s">
        <v>23</v>
      </c>
      <c r="D55" s="13">
        <v>17347.29113</v>
      </c>
      <c r="E55" s="14" t="s">
        <v>224</v>
      </c>
      <c r="F55" s="12">
        <v>100.0</v>
      </c>
    </row>
    <row r="56" ht="13.5" customHeight="1">
      <c r="A56" s="11" t="s">
        <v>226</v>
      </c>
      <c r="B56" s="11" t="s">
        <v>227</v>
      </c>
      <c r="C56" s="11" t="s">
        <v>23</v>
      </c>
      <c r="D56" s="13">
        <v>17122.71688</v>
      </c>
      <c r="E56" s="14" t="s">
        <v>226</v>
      </c>
      <c r="F56" s="12">
        <v>45.6178835131961</v>
      </c>
    </row>
    <row r="57" ht="13.5" customHeight="1">
      <c r="A57" s="11" t="s">
        <v>228</v>
      </c>
      <c r="B57" s="11" t="s">
        <v>229</v>
      </c>
      <c r="C57" s="11" t="s">
        <v>23</v>
      </c>
      <c r="D57" s="13">
        <v>16612.63749</v>
      </c>
      <c r="E57" s="14" t="s">
        <v>228</v>
      </c>
      <c r="F57" s="12">
        <v>34.5571866991687</v>
      </c>
    </row>
    <row r="58" ht="13.5" customHeight="1">
      <c r="A58" s="11" t="s">
        <v>230</v>
      </c>
      <c r="B58" s="11" t="s">
        <v>231</v>
      </c>
      <c r="C58" s="11" t="s">
        <v>23</v>
      </c>
      <c r="D58" s="13">
        <v>16543.10491</v>
      </c>
      <c r="E58" s="14" t="s">
        <v>230</v>
      </c>
      <c r="F58" s="12">
        <v>65.5114587883994</v>
      </c>
    </row>
    <row r="59" ht="13.5" customHeight="1">
      <c r="A59" s="11" t="s">
        <v>234</v>
      </c>
      <c r="B59" s="11" t="s">
        <v>235</v>
      </c>
      <c r="C59" s="11" t="s">
        <v>23</v>
      </c>
      <c r="D59" s="13">
        <v>16376.25652</v>
      </c>
      <c r="E59" s="14" t="s">
        <v>234</v>
      </c>
      <c r="F59" s="12">
        <v>55.2617799154726</v>
      </c>
    </row>
    <row r="60" ht="13.5" customHeight="1">
      <c r="A60" s="11" t="s">
        <v>238</v>
      </c>
      <c r="B60" s="11" t="s">
        <v>239</v>
      </c>
      <c r="C60" s="11" t="s">
        <v>23</v>
      </c>
      <c r="D60" s="13">
        <v>16312.48496</v>
      </c>
      <c r="E60" s="14" t="s">
        <v>238</v>
      </c>
      <c r="F60" s="12">
        <v>100.0</v>
      </c>
    </row>
    <row r="61" ht="13.5" customHeight="1">
      <c r="A61" s="11" t="s">
        <v>240</v>
      </c>
      <c r="B61" s="11" t="s">
        <v>241</v>
      </c>
      <c r="C61" s="11" t="s">
        <v>23</v>
      </c>
      <c r="D61" s="13">
        <v>15395.02789</v>
      </c>
      <c r="E61" s="14" t="s">
        <v>244</v>
      </c>
      <c r="F61" s="12">
        <v>51.7946100135217</v>
      </c>
    </row>
    <row r="62" ht="13.5" customHeight="1">
      <c r="A62" s="11" t="s">
        <v>246</v>
      </c>
      <c r="B62" s="11" t="s">
        <v>247</v>
      </c>
      <c r="C62" s="11" t="s">
        <v>23</v>
      </c>
      <c r="D62" s="13">
        <v>15052.91499</v>
      </c>
      <c r="E62" s="14" t="s">
        <v>246</v>
      </c>
      <c r="F62" s="12">
        <v>50.3476849029474</v>
      </c>
    </row>
    <row r="63" ht="13.5" customHeight="1">
      <c r="A63" s="11" t="s">
        <v>218</v>
      </c>
      <c r="B63" s="11" t="s">
        <v>216</v>
      </c>
      <c r="C63" s="11" t="s">
        <v>23</v>
      </c>
      <c r="D63" s="13">
        <v>14616.92879</v>
      </c>
      <c r="E63" s="14" t="s">
        <v>218</v>
      </c>
      <c r="F63" s="12">
        <v>53.9027565756135</v>
      </c>
    </row>
    <row r="64" ht="13.5" customHeight="1">
      <c r="A64" s="11" t="s">
        <v>223</v>
      </c>
      <c r="B64" s="11" t="s">
        <v>222</v>
      </c>
      <c r="C64" s="11" t="s">
        <v>23</v>
      </c>
      <c r="D64" s="13">
        <v>13119.10761</v>
      </c>
      <c r="E64" s="14" t="s">
        <v>223</v>
      </c>
      <c r="F64" s="12">
        <v>86.7935685014475</v>
      </c>
    </row>
    <row r="65" ht="13.5" customHeight="1">
      <c r="A65" s="11" t="s">
        <v>80</v>
      </c>
      <c r="B65" s="11" t="s">
        <v>79</v>
      </c>
      <c r="C65" s="11" t="s">
        <v>23</v>
      </c>
      <c r="D65" s="13">
        <v>12774.35066</v>
      </c>
      <c r="E65" s="14" t="s">
        <v>80</v>
      </c>
      <c r="F65" s="12">
        <v>100.0</v>
      </c>
    </row>
    <row r="66" ht="13.5" customHeight="1">
      <c r="A66" s="11" t="s">
        <v>250</v>
      </c>
      <c r="B66" s="11" t="s">
        <v>251</v>
      </c>
      <c r="C66" s="11" t="s">
        <v>23</v>
      </c>
      <c r="D66" s="13">
        <v>12459.91121</v>
      </c>
      <c r="E66" s="14" t="s">
        <v>250</v>
      </c>
      <c r="F66" s="12">
        <v>82.3023305812618</v>
      </c>
    </row>
    <row r="67" ht="13.5" customHeight="1">
      <c r="A67" s="11" t="s">
        <v>252</v>
      </c>
      <c r="B67" s="11" t="s">
        <v>253</v>
      </c>
      <c r="C67" s="11" t="s">
        <v>23</v>
      </c>
      <c r="D67" s="13">
        <v>12190.79709</v>
      </c>
      <c r="E67" s="14" t="s">
        <v>254</v>
      </c>
      <c r="F67" s="12">
        <v>32.5958770328586</v>
      </c>
    </row>
    <row r="68" ht="13.5" customHeight="1">
      <c r="A68" s="11" t="s">
        <v>255</v>
      </c>
      <c r="B68" s="11" t="s">
        <v>256</v>
      </c>
      <c r="C68" s="11" t="s">
        <v>23</v>
      </c>
      <c r="D68" s="13">
        <v>11918.80452</v>
      </c>
      <c r="E68" s="14" t="s">
        <v>255</v>
      </c>
      <c r="F68" s="12">
        <v>46.5430685745478</v>
      </c>
    </row>
    <row r="69" ht="13.5" customHeight="1">
      <c r="A69" s="11" t="s">
        <v>257</v>
      </c>
      <c r="B69" s="11" t="s">
        <v>259</v>
      </c>
      <c r="C69" s="11" t="s">
        <v>23</v>
      </c>
      <c r="D69" s="13">
        <v>11883.79128</v>
      </c>
      <c r="E69" s="14" t="s">
        <v>257</v>
      </c>
      <c r="F69" s="12">
        <v>100.0</v>
      </c>
    </row>
    <row r="70" ht="13.5" customHeight="1">
      <c r="A70" s="11" t="s">
        <v>262</v>
      </c>
      <c r="B70" s="11" t="s">
        <v>263</v>
      </c>
      <c r="C70" s="11" t="s">
        <v>23</v>
      </c>
      <c r="D70" s="13">
        <v>11872.78426</v>
      </c>
      <c r="E70" s="14" t="s">
        <v>262</v>
      </c>
      <c r="F70" s="12">
        <v>100.0</v>
      </c>
    </row>
    <row r="71" ht="13.5" customHeight="1">
      <c r="A71" s="11" t="s">
        <v>266</v>
      </c>
      <c r="B71" s="11" t="s">
        <v>267</v>
      </c>
      <c r="C71" s="11" t="s">
        <v>23</v>
      </c>
      <c r="D71" s="13">
        <v>11798.79137</v>
      </c>
      <c r="E71" s="14" t="s">
        <v>266</v>
      </c>
      <c r="F71" s="12">
        <v>42.6206916215659</v>
      </c>
    </row>
    <row r="72" ht="13.5" customHeight="1">
      <c r="A72" s="11" t="s">
        <v>270</v>
      </c>
      <c r="B72" s="11" t="s">
        <v>272</v>
      </c>
      <c r="C72" s="11" t="s">
        <v>23</v>
      </c>
      <c r="D72" s="13">
        <v>11092.63379</v>
      </c>
      <c r="E72" s="14" t="s">
        <v>270</v>
      </c>
      <c r="F72" s="12">
        <v>100.0</v>
      </c>
    </row>
    <row r="73" ht="13.5" customHeight="1">
      <c r="A73" s="11" t="s">
        <v>273</v>
      </c>
      <c r="B73" s="11" t="s">
        <v>274</v>
      </c>
      <c r="C73" s="11" t="s">
        <v>23</v>
      </c>
      <c r="D73" s="13">
        <v>10284.03369</v>
      </c>
      <c r="E73" s="14" t="s">
        <v>273</v>
      </c>
      <c r="F73" s="12">
        <v>81.8775389147102</v>
      </c>
    </row>
    <row r="74" ht="13.5" customHeight="1">
      <c r="A74" s="11" t="s">
        <v>178</v>
      </c>
      <c r="B74" s="11" t="s">
        <v>176</v>
      </c>
      <c r="C74" s="11" t="s">
        <v>23</v>
      </c>
      <c r="D74" s="13">
        <v>10127.41526</v>
      </c>
      <c r="E74" s="14" t="s">
        <v>178</v>
      </c>
      <c r="F74" s="12">
        <v>72.9909638329033</v>
      </c>
    </row>
    <row r="75" ht="13.5" customHeight="1">
      <c r="A75" s="11" t="s">
        <v>277</v>
      </c>
      <c r="B75" s="11" t="s">
        <v>278</v>
      </c>
      <c r="C75" s="11" t="s">
        <v>23</v>
      </c>
      <c r="D75" s="13">
        <v>10042.65031</v>
      </c>
      <c r="E75" s="14" t="s">
        <v>277</v>
      </c>
      <c r="F75" s="12">
        <v>31.5889326600044</v>
      </c>
    </row>
    <row r="76" ht="13.5" customHeight="1">
      <c r="A76" s="11" t="s">
        <v>172</v>
      </c>
      <c r="B76" s="11" t="s">
        <v>169</v>
      </c>
      <c r="C76" s="11" t="s">
        <v>23</v>
      </c>
      <c r="D76" s="13">
        <v>9566.745187</v>
      </c>
      <c r="E76" s="14" t="s">
        <v>172</v>
      </c>
      <c r="F76" s="12">
        <v>100.0</v>
      </c>
    </row>
    <row r="77" ht="13.5" customHeight="1">
      <c r="A77" s="11" t="s">
        <v>284</v>
      </c>
      <c r="B77" s="11" t="s">
        <v>285</v>
      </c>
      <c r="C77" s="11" t="s">
        <v>23</v>
      </c>
      <c r="D77" s="13">
        <v>9485.187712</v>
      </c>
      <c r="E77" s="14" t="s">
        <v>286</v>
      </c>
      <c r="F77" s="12">
        <v>43.2480054451618</v>
      </c>
    </row>
    <row r="78" ht="13.5" customHeight="1">
      <c r="A78" s="11" t="s">
        <v>280</v>
      </c>
      <c r="B78" s="11" t="s">
        <v>279</v>
      </c>
      <c r="C78" s="11" t="s">
        <v>23</v>
      </c>
      <c r="D78" s="13">
        <v>9172.710496</v>
      </c>
      <c r="E78" s="14" t="s">
        <v>280</v>
      </c>
      <c r="F78" s="12">
        <v>41.1032087082739</v>
      </c>
    </row>
    <row r="79" ht="13.5" customHeight="1">
      <c r="A79" s="11" t="s">
        <v>283</v>
      </c>
      <c r="B79" s="11" t="s">
        <v>281</v>
      </c>
      <c r="C79" s="11" t="s">
        <v>23</v>
      </c>
      <c r="D79" s="13">
        <v>9168.454189</v>
      </c>
      <c r="E79" s="14" t="s">
        <v>282</v>
      </c>
      <c r="F79" s="12">
        <v>38.1316429276058</v>
      </c>
    </row>
    <row r="80" ht="13.5" customHeight="1">
      <c r="A80" s="11" t="s">
        <v>293</v>
      </c>
      <c r="B80" s="11" t="s">
        <v>295</v>
      </c>
      <c r="C80" s="11" t="s">
        <v>23</v>
      </c>
      <c r="D80" s="13">
        <v>8580.261058</v>
      </c>
      <c r="E80" s="14" t="s">
        <v>293</v>
      </c>
      <c r="F80" s="12">
        <v>71.4824988455505</v>
      </c>
    </row>
    <row r="81" ht="13.5" customHeight="1">
      <c r="A81" s="11" t="s">
        <v>296</v>
      </c>
      <c r="B81" s="11" t="s">
        <v>297</v>
      </c>
      <c r="C81" s="11" t="s">
        <v>23</v>
      </c>
      <c r="D81" s="13">
        <v>8540.004278</v>
      </c>
      <c r="E81" s="14" t="s">
        <v>296</v>
      </c>
      <c r="F81" s="12">
        <v>76.6731004276405</v>
      </c>
    </row>
    <row r="82" ht="13.5" customHeight="1">
      <c r="A82" s="11" t="s">
        <v>300</v>
      </c>
      <c r="B82" s="11" t="s">
        <v>301</v>
      </c>
      <c r="C82" s="11" t="s">
        <v>23</v>
      </c>
      <c r="D82" s="13">
        <v>8229.672611</v>
      </c>
      <c r="E82" s="14" t="s">
        <v>300</v>
      </c>
      <c r="F82" s="12">
        <v>100.0</v>
      </c>
    </row>
    <row r="83" ht="13.5" customHeight="1">
      <c r="A83" s="11" t="s">
        <v>304</v>
      </c>
      <c r="B83" s="11" t="s">
        <v>305</v>
      </c>
      <c r="C83" s="11" t="s">
        <v>23</v>
      </c>
      <c r="D83" s="13">
        <v>8218.724768</v>
      </c>
      <c r="E83" s="14" t="s">
        <v>306</v>
      </c>
      <c r="F83" s="12">
        <v>39.2831903385014</v>
      </c>
    </row>
    <row r="84" ht="13.5" customHeight="1">
      <c r="A84" s="11" t="s">
        <v>307</v>
      </c>
      <c r="B84" s="11" t="s">
        <v>308</v>
      </c>
      <c r="C84" s="11" t="s">
        <v>23</v>
      </c>
      <c r="D84" s="13">
        <v>7696.080782</v>
      </c>
      <c r="E84" s="14" t="s">
        <v>307</v>
      </c>
      <c r="F84" s="12">
        <v>100.0</v>
      </c>
    </row>
    <row r="85" ht="13.5" customHeight="1">
      <c r="A85" s="11" t="s">
        <v>249</v>
      </c>
      <c r="B85" s="11" t="s">
        <v>248</v>
      </c>
      <c r="C85" s="11" t="s">
        <v>23</v>
      </c>
      <c r="D85" s="13">
        <v>7381.39774</v>
      </c>
      <c r="E85" s="14" t="s">
        <v>249</v>
      </c>
      <c r="F85" s="12">
        <v>63.4771878288581</v>
      </c>
    </row>
    <row r="86" ht="13.5" customHeight="1">
      <c r="A86" s="11" t="s">
        <v>311</v>
      </c>
      <c r="B86" s="11" t="s">
        <v>312</v>
      </c>
      <c r="C86" s="11" t="s">
        <v>23</v>
      </c>
      <c r="D86" s="13">
        <v>7246.257682</v>
      </c>
      <c r="E86" s="14" t="s">
        <v>311</v>
      </c>
      <c r="F86" s="12">
        <v>99.8425042231228</v>
      </c>
    </row>
    <row r="87" ht="13.5" customHeight="1">
      <c r="A87" s="11" t="s">
        <v>166</v>
      </c>
      <c r="B87" s="11" t="s">
        <v>165</v>
      </c>
      <c r="C87" s="11" t="s">
        <v>23</v>
      </c>
      <c r="D87" s="13">
        <v>6952.347704</v>
      </c>
      <c r="E87" s="14" t="s">
        <v>166</v>
      </c>
      <c r="F87" s="12">
        <v>78.1536856308319</v>
      </c>
    </row>
    <row r="88" ht="13.5" customHeight="1">
      <c r="A88" s="11" t="s">
        <v>233</v>
      </c>
      <c r="B88" s="11" t="s">
        <v>232</v>
      </c>
      <c r="C88" s="11" t="s">
        <v>23</v>
      </c>
      <c r="D88" s="13">
        <v>6865.312839</v>
      </c>
      <c r="E88" s="14" t="s">
        <v>233</v>
      </c>
      <c r="F88" s="12">
        <v>100.0</v>
      </c>
    </row>
    <row r="89" ht="13.5" customHeight="1">
      <c r="A89" s="11" t="s">
        <v>133</v>
      </c>
      <c r="B89" s="11" t="s">
        <v>132</v>
      </c>
      <c r="C89" s="11" t="s">
        <v>23</v>
      </c>
      <c r="D89" s="13">
        <v>6814.344434</v>
      </c>
      <c r="E89" s="14" t="s">
        <v>133</v>
      </c>
      <c r="F89" s="12">
        <v>56.1217305541521</v>
      </c>
    </row>
    <row r="90" ht="13.5" customHeight="1">
      <c r="A90" s="11" t="s">
        <v>162</v>
      </c>
      <c r="B90" s="11" t="s">
        <v>160</v>
      </c>
      <c r="C90" s="11" t="s">
        <v>23</v>
      </c>
      <c r="D90" s="13">
        <v>6746.953665</v>
      </c>
      <c r="E90" s="14" t="s">
        <v>161</v>
      </c>
      <c r="F90" s="12">
        <v>82.6573222045377</v>
      </c>
    </row>
    <row r="91" ht="13.5" customHeight="1">
      <c r="A91" s="11" t="s">
        <v>320</v>
      </c>
      <c r="B91" s="11" t="s">
        <v>321</v>
      </c>
      <c r="C91" s="11" t="s">
        <v>23</v>
      </c>
      <c r="D91" s="13">
        <v>6732.277738</v>
      </c>
      <c r="E91" s="14" t="s">
        <v>320</v>
      </c>
      <c r="F91" s="12">
        <v>96.0580530222885</v>
      </c>
    </row>
    <row r="92" ht="13.5" customHeight="1">
      <c r="A92" s="11" t="s">
        <v>322</v>
      </c>
      <c r="B92" s="11" t="s">
        <v>323</v>
      </c>
      <c r="C92" s="11" t="s">
        <v>23</v>
      </c>
      <c r="D92" s="13">
        <v>6670.699566</v>
      </c>
      <c r="E92" s="14" t="s">
        <v>322</v>
      </c>
      <c r="F92" s="12">
        <v>100.0</v>
      </c>
    </row>
    <row r="93" ht="13.5" customHeight="1">
      <c r="A93" s="11" t="s">
        <v>324</v>
      </c>
      <c r="B93" s="11" t="s">
        <v>325</v>
      </c>
      <c r="C93" s="11" t="s">
        <v>23</v>
      </c>
      <c r="D93" s="13">
        <v>6628.846866</v>
      </c>
      <c r="E93" s="14" t="s">
        <v>324</v>
      </c>
      <c r="F93" s="12">
        <v>56.4056710947356</v>
      </c>
    </row>
    <row r="94" ht="13.5" customHeight="1">
      <c r="A94" s="11" t="s">
        <v>326</v>
      </c>
      <c r="B94" s="11" t="s">
        <v>327</v>
      </c>
      <c r="C94" s="11" t="s">
        <v>23</v>
      </c>
      <c r="D94" s="13">
        <v>6618.986859</v>
      </c>
      <c r="E94" s="14" t="s">
        <v>326</v>
      </c>
      <c r="F94" s="12">
        <v>100.0</v>
      </c>
    </row>
    <row r="95" ht="13.5" customHeight="1">
      <c r="A95" s="11" t="s">
        <v>328</v>
      </c>
      <c r="B95" s="11" t="s">
        <v>329</v>
      </c>
      <c r="C95" s="11" t="s">
        <v>23</v>
      </c>
      <c r="D95" s="13">
        <v>6616.585393</v>
      </c>
      <c r="E95" s="14" t="s">
        <v>328</v>
      </c>
      <c r="F95" s="12">
        <v>63.4803865776028</v>
      </c>
    </row>
    <row r="96" ht="13.5" customHeight="1">
      <c r="A96" s="11" t="s">
        <v>333</v>
      </c>
      <c r="B96" s="11" t="s">
        <v>334</v>
      </c>
      <c r="C96" s="11" t="s">
        <v>23</v>
      </c>
      <c r="D96" s="13">
        <v>6606.357723</v>
      </c>
      <c r="E96" s="14" t="s">
        <v>333</v>
      </c>
      <c r="F96" s="12">
        <v>49.9701008219806</v>
      </c>
    </row>
    <row r="97" ht="13.5" customHeight="1">
      <c r="A97" s="11" t="s">
        <v>53</v>
      </c>
      <c r="B97" s="11" t="s">
        <v>52</v>
      </c>
      <c r="C97" s="11" t="s">
        <v>23</v>
      </c>
      <c r="D97" s="13">
        <v>6549.233874</v>
      </c>
      <c r="E97" s="14" t="s">
        <v>53</v>
      </c>
      <c r="F97" s="12">
        <v>85.7615537822748</v>
      </c>
    </row>
    <row r="98" ht="13.5" customHeight="1">
      <c r="A98" s="11" t="s">
        <v>141</v>
      </c>
      <c r="B98" s="11" t="s">
        <v>140</v>
      </c>
      <c r="C98" s="11" t="s">
        <v>23</v>
      </c>
      <c r="D98" s="13">
        <v>6290.492945</v>
      </c>
      <c r="E98" s="14" t="s">
        <v>141</v>
      </c>
      <c r="F98" s="12">
        <v>54.2175135649105</v>
      </c>
    </row>
    <row r="99" ht="13.5" customHeight="1">
      <c r="A99" s="11" t="s">
        <v>335</v>
      </c>
      <c r="B99" s="11" t="s">
        <v>336</v>
      </c>
      <c r="C99" s="11" t="s">
        <v>23</v>
      </c>
      <c r="D99" s="13">
        <v>6096.432703</v>
      </c>
      <c r="E99" s="14" t="s">
        <v>335</v>
      </c>
      <c r="F99" s="12">
        <v>37.5991660155646</v>
      </c>
    </row>
    <row r="100" ht="13.5" customHeight="1">
      <c r="A100" s="11" t="s">
        <v>288</v>
      </c>
      <c r="B100" s="11" t="s">
        <v>287</v>
      </c>
      <c r="C100" s="11" t="s">
        <v>23</v>
      </c>
      <c r="D100" s="13">
        <v>5993.746978</v>
      </c>
      <c r="E100" s="14" t="s">
        <v>288</v>
      </c>
      <c r="F100" s="12">
        <v>100.0</v>
      </c>
    </row>
    <row r="101" ht="13.5" customHeight="1">
      <c r="A101" s="11" t="s">
        <v>319</v>
      </c>
      <c r="B101" s="11" t="s">
        <v>318</v>
      </c>
      <c r="C101" s="11" t="s">
        <v>23</v>
      </c>
      <c r="D101" s="13">
        <v>5935.208957</v>
      </c>
      <c r="E101" s="14" t="s">
        <v>319</v>
      </c>
      <c r="F101" s="12">
        <v>45.77572570825</v>
      </c>
    </row>
    <row r="102" ht="13.5" customHeight="1">
      <c r="A102" s="11" t="s">
        <v>109</v>
      </c>
      <c r="B102" s="11" t="s">
        <v>108</v>
      </c>
      <c r="C102" s="11" t="s">
        <v>23</v>
      </c>
      <c r="D102" s="13">
        <v>5876.032955</v>
      </c>
      <c r="E102" s="14" t="s">
        <v>109</v>
      </c>
      <c r="F102" s="12">
        <v>100.0</v>
      </c>
    </row>
    <row r="103" ht="13.5" customHeight="1">
      <c r="A103" s="11" t="s">
        <v>341</v>
      </c>
      <c r="B103" s="11" t="s">
        <v>342</v>
      </c>
      <c r="C103" s="11" t="s">
        <v>23</v>
      </c>
      <c r="D103" s="13">
        <v>5834.442969</v>
      </c>
      <c r="E103" s="14" t="s">
        <v>343</v>
      </c>
      <c r="F103" s="12">
        <v>100.0</v>
      </c>
    </row>
    <row r="104" ht="13.5" customHeight="1">
      <c r="A104" s="11" t="s">
        <v>344</v>
      </c>
      <c r="B104" s="11" t="s">
        <v>345</v>
      </c>
      <c r="C104" s="11" t="s">
        <v>23</v>
      </c>
      <c r="D104" s="13">
        <v>5715.475315</v>
      </c>
      <c r="E104" s="14" t="s">
        <v>344</v>
      </c>
      <c r="F104" s="12">
        <v>100.0</v>
      </c>
    </row>
    <row r="105" ht="13.5" customHeight="1">
      <c r="A105" s="11" t="s">
        <v>346</v>
      </c>
      <c r="B105" s="11" t="s">
        <v>347</v>
      </c>
      <c r="C105" s="11" t="s">
        <v>23</v>
      </c>
      <c r="D105" s="13">
        <v>5391.229142</v>
      </c>
      <c r="E105" s="14" t="s">
        <v>346</v>
      </c>
      <c r="F105" s="12">
        <v>38.1292782956871</v>
      </c>
    </row>
    <row r="106" ht="13.5" customHeight="1">
      <c r="A106" s="11" t="s">
        <v>85</v>
      </c>
      <c r="B106" s="11" t="s">
        <v>84</v>
      </c>
      <c r="C106" s="11" t="s">
        <v>23</v>
      </c>
      <c r="D106" s="13">
        <v>5378.318</v>
      </c>
      <c r="E106" s="14" t="s">
        <v>85</v>
      </c>
      <c r="F106" s="12">
        <v>46.5907958979981</v>
      </c>
    </row>
    <row r="107" ht="13.5" customHeight="1">
      <c r="A107" s="11" t="s">
        <v>299</v>
      </c>
      <c r="B107" s="11" t="s">
        <v>298</v>
      </c>
      <c r="C107" s="11" t="s">
        <v>23</v>
      </c>
      <c r="D107" s="13">
        <v>4892.953105</v>
      </c>
      <c r="E107" s="14" t="s">
        <v>299</v>
      </c>
      <c r="F107" s="12">
        <v>100.0</v>
      </c>
    </row>
    <row r="108" ht="13.5" customHeight="1">
      <c r="A108" s="11" t="s">
        <v>352</v>
      </c>
      <c r="B108" s="11" t="s">
        <v>353</v>
      </c>
      <c r="C108" s="11" t="s">
        <v>23</v>
      </c>
      <c r="D108" s="13">
        <v>4880.54418</v>
      </c>
      <c r="E108" s="14" t="s">
        <v>352</v>
      </c>
      <c r="F108" s="12">
        <v>40.4857090712705</v>
      </c>
    </row>
    <row r="109" ht="13.5" customHeight="1">
      <c r="A109" s="11" t="s">
        <v>354</v>
      </c>
      <c r="B109" s="11" t="s">
        <v>355</v>
      </c>
      <c r="C109" s="11" t="s">
        <v>23</v>
      </c>
      <c r="D109" s="13">
        <v>4779.923999</v>
      </c>
      <c r="E109" s="14" t="s">
        <v>354</v>
      </c>
      <c r="F109" s="12">
        <v>36.1698267021425</v>
      </c>
    </row>
    <row r="110" ht="13.5" customHeight="1">
      <c r="A110" s="11" t="s">
        <v>59</v>
      </c>
      <c r="B110" s="11" t="s">
        <v>57</v>
      </c>
      <c r="C110" s="11" t="s">
        <v>23</v>
      </c>
      <c r="D110" s="13">
        <v>4765.729002</v>
      </c>
      <c r="E110" s="14" t="s">
        <v>59</v>
      </c>
      <c r="F110" s="12">
        <v>100.0</v>
      </c>
    </row>
    <row r="111" ht="13.5" customHeight="1">
      <c r="A111" s="11" t="s">
        <v>358</v>
      </c>
      <c r="B111" s="11" t="s">
        <v>360</v>
      </c>
      <c r="C111" s="11" t="s">
        <v>23</v>
      </c>
      <c r="D111" s="13">
        <v>4626.796096</v>
      </c>
      <c r="E111" s="14" t="s">
        <v>358</v>
      </c>
      <c r="F111" s="12">
        <v>100.0</v>
      </c>
    </row>
    <row r="112" ht="13.5" customHeight="1">
      <c r="A112" s="11" t="s">
        <v>294</v>
      </c>
      <c r="B112" s="11" t="s">
        <v>292</v>
      </c>
      <c r="C112" s="11" t="s">
        <v>23</v>
      </c>
      <c r="D112" s="13">
        <v>4576.558466</v>
      </c>
      <c r="E112" s="14" t="s">
        <v>294</v>
      </c>
      <c r="F112" s="12">
        <v>43.6756485305457</v>
      </c>
    </row>
    <row r="113" ht="13.5" customHeight="1">
      <c r="A113" s="11" t="s">
        <v>351</v>
      </c>
      <c r="B113" s="11" t="s">
        <v>350</v>
      </c>
      <c r="C113" s="11" t="s">
        <v>23</v>
      </c>
      <c r="D113" s="13">
        <v>4564.213785</v>
      </c>
      <c r="E113" s="14" t="s">
        <v>351</v>
      </c>
      <c r="F113" s="12">
        <v>45.0832694367956</v>
      </c>
    </row>
    <row r="114" ht="13.5" customHeight="1">
      <c r="A114" s="11" t="s">
        <v>362</v>
      </c>
      <c r="B114" s="11" t="s">
        <v>363</v>
      </c>
      <c r="C114" s="11" t="s">
        <v>23</v>
      </c>
      <c r="D114" s="13">
        <v>4477.907455</v>
      </c>
      <c r="E114" s="14" t="s">
        <v>362</v>
      </c>
      <c r="F114" s="12">
        <v>86.8334683176011</v>
      </c>
    </row>
    <row r="115" ht="13.5" customHeight="1">
      <c r="A115" s="11" t="s">
        <v>366</v>
      </c>
      <c r="B115" s="11" t="s">
        <v>367</v>
      </c>
      <c r="C115" s="11" t="s">
        <v>23</v>
      </c>
      <c r="D115" s="13">
        <v>4441.039749</v>
      </c>
      <c r="E115" s="14" t="s">
        <v>366</v>
      </c>
      <c r="F115" s="12">
        <v>42.3950887820361</v>
      </c>
    </row>
    <row r="116" ht="13.5" customHeight="1">
      <c r="A116" s="11" t="s">
        <v>190</v>
      </c>
      <c r="B116" s="11" t="s">
        <v>189</v>
      </c>
      <c r="C116" s="11" t="s">
        <v>23</v>
      </c>
      <c r="D116" s="13">
        <v>4438.387419</v>
      </c>
      <c r="E116" s="14" t="s">
        <v>190</v>
      </c>
      <c r="F116" s="12">
        <v>47.8212588208467</v>
      </c>
    </row>
    <row r="117" ht="13.5" customHeight="1">
      <c r="A117" s="11" t="s">
        <v>370</v>
      </c>
      <c r="B117" s="11" t="s">
        <v>371</v>
      </c>
      <c r="C117" s="11" t="s">
        <v>23</v>
      </c>
      <c r="D117" s="13">
        <v>4367.947418</v>
      </c>
      <c r="E117" s="14" t="s">
        <v>370</v>
      </c>
      <c r="F117" s="12">
        <v>100.0</v>
      </c>
    </row>
    <row r="118" ht="13.5" customHeight="1">
      <c r="A118" s="11" t="s">
        <v>372</v>
      </c>
      <c r="B118" s="11" t="s">
        <v>373</v>
      </c>
      <c r="C118" s="11" t="s">
        <v>23</v>
      </c>
      <c r="D118" s="13">
        <v>4198.745137</v>
      </c>
      <c r="E118" s="14" t="s">
        <v>372</v>
      </c>
      <c r="F118" s="12">
        <v>50.4880541008062</v>
      </c>
    </row>
    <row r="119" ht="13.5" customHeight="1">
      <c r="A119" s="11" t="s">
        <v>374</v>
      </c>
      <c r="B119" s="11" t="s">
        <v>375</v>
      </c>
      <c r="C119" s="11" t="s">
        <v>23</v>
      </c>
      <c r="D119" s="13">
        <v>4180.296195</v>
      </c>
      <c r="E119" s="14" t="s">
        <v>374</v>
      </c>
      <c r="F119" s="12">
        <v>100.0</v>
      </c>
    </row>
    <row r="120" ht="13.5" customHeight="1">
      <c r="A120" s="11" t="s">
        <v>291</v>
      </c>
      <c r="B120" s="11" t="s">
        <v>289</v>
      </c>
      <c r="C120" s="11" t="s">
        <v>23</v>
      </c>
      <c r="D120" s="13">
        <v>4137.609292</v>
      </c>
      <c r="E120" s="14" t="s">
        <v>290</v>
      </c>
      <c r="F120" s="12">
        <v>83.9659799062284</v>
      </c>
    </row>
    <row r="121" ht="13.5" customHeight="1">
      <c r="A121" s="11" t="s">
        <v>376</v>
      </c>
      <c r="B121" s="11" t="s">
        <v>377</v>
      </c>
      <c r="C121" s="11" t="s">
        <v>23</v>
      </c>
      <c r="D121" s="13">
        <v>4032.401507</v>
      </c>
      <c r="E121" s="14" t="s">
        <v>376</v>
      </c>
      <c r="F121" s="12">
        <v>51.3761009362791</v>
      </c>
    </row>
    <row r="122" ht="13.5" customHeight="1">
      <c r="A122" s="11" t="s">
        <v>380</v>
      </c>
      <c r="B122" s="11" t="s">
        <v>381</v>
      </c>
      <c r="C122" s="11" t="s">
        <v>23</v>
      </c>
      <c r="D122" s="13">
        <v>4012.507799</v>
      </c>
      <c r="E122" s="14" t="s">
        <v>380</v>
      </c>
      <c r="F122" s="12">
        <v>75.8678581986123</v>
      </c>
    </row>
    <row r="123" ht="13.5" customHeight="1">
      <c r="A123" s="11" t="s">
        <v>382</v>
      </c>
      <c r="B123" s="11" t="s">
        <v>383</v>
      </c>
      <c r="C123" s="11" t="s">
        <v>23</v>
      </c>
      <c r="D123" s="13">
        <v>4006.205883</v>
      </c>
      <c r="E123" s="14" t="s">
        <v>382</v>
      </c>
      <c r="F123" s="12">
        <v>53.0858820526718</v>
      </c>
    </row>
    <row r="124" ht="13.5" customHeight="1">
      <c r="A124" s="11" t="s">
        <v>384</v>
      </c>
      <c r="B124" s="11" t="s">
        <v>385</v>
      </c>
      <c r="C124" s="11" t="s">
        <v>23</v>
      </c>
      <c r="D124" s="13">
        <v>3926.149009</v>
      </c>
      <c r="E124" s="14" t="s">
        <v>384</v>
      </c>
      <c r="F124" s="12">
        <v>54.5742112101539</v>
      </c>
    </row>
    <row r="125" ht="13.5" customHeight="1">
      <c r="A125" s="11" t="s">
        <v>310</v>
      </c>
      <c r="B125" s="11" t="s">
        <v>309</v>
      </c>
      <c r="C125" s="11" t="s">
        <v>23</v>
      </c>
      <c r="D125" s="13">
        <v>3866.371279</v>
      </c>
      <c r="E125" s="14" t="s">
        <v>310</v>
      </c>
      <c r="F125" s="12">
        <v>61.9960981451985</v>
      </c>
    </row>
    <row r="126" ht="13.5" customHeight="1">
      <c r="A126" s="11" t="s">
        <v>386</v>
      </c>
      <c r="B126" s="11" t="s">
        <v>387</v>
      </c>
      <c r="C126" s="11" t="s">
        <v>23</v>
      </c>
      <c r="D126" s="13">
        <v>3855.569404</v>
      </c>
      <c r="E126" s="14" t="s">
        <v>388</v>
      </c>
      <c r="F126" s="12">
        <v>37.5882466900028</v>
      </c>
    </row>
    <row r="127" ht="13.5" customHeight="1">
      <c r="A127" s="11" t="s">
        <v>154</v>
      </c>
      <c r="B127" s="11" t="s">
        <v>153</v>
      </c>
      <c r="C127" s="11" t="s">
        <v>23</v>
      </c>
      <c r="D127" s="13">
        <v>3717.210531</v>
      </c>
      <c r="E127" s="14" t="s">
        <v>154</v>
      </c>
      <c r="F127" s="12">
        <v>76.4829196705527</v>
      </c>
    </row>
    <row r="128" ht="13.5" customHeight="1">
      <c r="A128" s="11" t="s">
        <v>389</v>
      </c>
      <c r="B128" s="11" t="s">
        <v>390</v>
      </c>
      <c r="C128" s="11" t="s">
        <v>23</v>
      </c>
      <c r="D128" s="13">
        <v>3516.154053</v>
      </c>
      <c r="E128" s="14" t="s">
        <v>389</v>
      </c>
      <c r="F128" s="12">
        <v>44.1237368010451</v>
      </c>
    </row>
    <row r="129" ht="13.5" customHeight="1">
      <c r="A129" s="11" t="s">
        <v>276</v>
      </c>
      <c r="B129" s="11" t="s">
        <v>275</v>
      </c>
      <c r="C129" s="11" t="s">
        <v>23</v>
      </c>
      <c r="D129" s="13">
        <v>3290.424821</v>
      </c>
      <c r="E129" s="14" t="s">
        <v>276</v>
      </c>
      <c r="F129" s="12">
        <v>29.3781072889673</v>
      </c>
    </row>
    <row r="130" ht="13.5" customHeight="1">
      <c r="A130" s="11" t="s">
        <v>391</v>
      </c>
      <c r="B130" s="11" t="s">
        <v>392</v>
      </c>
      <c r="C130" s="11" t="s">
        <v>23</v>
      </c>
      <c r="D130" s="13">
        <v>3223.85238</v>
      </c>
      <c r="E130" s="14" t="s">
        <v>391</v>
      </c>
      <c r="F130" s="12">
        <v>44.4086315731393</v>
      </c>
    </row>
    <row r="131" ht="13.5" customHeight="1">
      <c r="A131" s="11" t="s">
        <v>157</v>
      </c>
      <c r="B131" s="11" t="s">
        <v>155</v>
      </c>
      <c r="C131" s="11" t="s">
        <v>23</v>
      </c>
      <c r="D131" s="13">
        <v>3045.614766</v>
      </c>
      <c r="E131" s="14" t="s">
        <v>156</v>
      </c>
      <c r="F131" s="12">
        <v>100.0</v>
      </c>
    </row>
    <row r="132" ht="13.5" customHeight="1">
      <c r="A132" s="11" t="s">
        <v>317</v>
      </c>
      <c r="B132" s="11" t="s">
        <v>315</v>
      </c>
      <c r="C132" s="11" t="s">
        <v>23</v>
      </c>
      <c r="D132" s="13">
        <v>3001.796697</v>
      </c>
      <c r="E132" s="14" t="s">
        <v>316</v>
      </c>
      <c r="F132" s="12">
        <v>48.5009756848208</v>
      </c>
    </row>
    <row r="133" ht="13.5" customHeight="1">
      <c r="A133" s="11" t="s">
        <v>70</v>
      </c>
      <c r="B133" s="11" t="s">
        <v>69</v>
      </c>
      <c r="C133" s="11" t="s">
        <v>23</v>
      </c>
      <c r="D133" s="13">
        <v>2798.593928</v>
      </c>
      <c r="E133" s="14" t="s">
        <v>70</v>
      </c>
      <c r="F133" s="12">
        <v>100.0</v>
      </c>
    </row>
    <row r="134" ht="13.5" customHeight="1">
      <c r="A134" s="11" t="s">
        <v>393</v>
      </c>
      <c r="B134" s="11" t="s">
        <v>394</v>
      </c>
      <c r="C134" s="11" t="s">
        <v>23</v>
      </c>
      <c r="D134" s="13">
        <v>2721.078107</v>
      </c>
      <c r="E134" s="14" t="s">
        <v>395</v>
      </c>
      <c r="F134" s="12">
        <v>100.0</v>
      </c>
    </row>
    <row r="135" ht="13.5" customHeight="1">
      <c r="A135" s="11" t="s">
        <v>369</v>
      </c>
      <c r="B135" s="11" t="s">
        <v>368</v>
      </c>
      <c r="C135" s="11" t="s">
        <v>23</v>
      </c>
      <c r="D135" s="13">
        <v>2575.320812</v>
      </c>
      <c r="E135" s="14" t="s">
        <v>369</v>
      </c>
      <c r="F135" s="12">
        <v>37.7862706254877</v>
      </c>
    </row>
    <row r="136" ht="13.5" customHeight="1">
      <c r="A136" s="11" t="s">
        <v>396</v>
      </c>
      <c r="B136" s="11" t="s">
        <v>397</v>
      </c>
      <c r="C136" s="11" t="s">
        <v>23</v>
      </c>
      <c r="D136" s="13">
        <v>2566.910671</v>
      </c>
      <c r="E136" s="14" t="s">
        <v>396</v>
      </c>
      <c r="F136" s="12">
        <v>100.0</v>
      </c>
    </row>
    <row r="137" ht="13.5" customHeight="1">
      <c r="A137" s="11" t="s">
        <v>261</v>
      </c>
      <c r="B137" s="11" t="s">
        <v>258</v>
      </c>
      <c r="C137" s="11" t="s">
        <v>23</v>
      </c>
      <c r="D137" s="13">
        <v>2395.65917</v>
      </c>
      <c r="E137" s="14" t="s">
        <v>260</v>
      </c>
      <c r="F137" s="12">
        <v>76.8798621300089</v>
      </c>
    </row>
    <row r="138" ht="13.5" customHeight="1">
      <c r="A138" s="11" t="s">
        <v>379</v>
      </c>
      <c r="B138" s="11" t="s">
        <v>378</v>
      </c>
      <c r="C138" s="11" t="s">
        <v>23</v>
      </c>
      <c r="D138" s="13">
        <v>2366.832891</v>
      </c>
      <c r="E138" s="14" t="s">
        <v>379</v>
      </c>
      <c r="F138" s="12">
        <v>75.5225151755384</v>
      </c>
    </row>
    <row r="139" ht="13.5" customHeight="1">
      <c r="A139" s="11" t="s">
        <v>398</v>
      </c>
      <c r="B139" s="11" t="s">
        <v>399</v>
      </c>
      <c r="C139" s="11" t="s">
        <v>23</v>
      </c>
      <c r="D139" s="13">
        <v>2324.597024</v>
      </c>
      <c r="E139" s="14" t="s">
        <v>398</v>
      </c>
      <c r="F139" s="12">
        <v>100.0</v>
      </c>
    </row>
    <row r="140" ht="13.5" customHeight="1">
      <c r="A140" s="11" t="s">
        <v>402</v>
      </c>
      <c r="B140" s="11" t="s">
        <v>403</v>
      </c>
      <c r="C140" s="11" t="s">
        <v>23</v>
      </c>
      <c r="D140" s="13">
        <v>2290.31992</v>
      </c>
      <c r="E140" s="14" t="s">
        <v>402</v>
      </c>
      <c r="F140" s="12">
        <v>42.4754148268113</v>
      </c>
    </row>
    <row r="141" ht="13.5" customHeight="1">
      <c r="A141" s="11" t="s">
        <v>404</v>
      </c>
      <c r="B141" s="11" t="s">
        <v>405</v>
      </c>
      <c r="C141" s="11" t="s">
        <v>23</v>
      </c>
      <c r="D141" s="13">
        <v>2258.206987</v>
      </c>
      <c r="E141" s="14" t="s">
        <v>406</v>
      </c>
      <c r="F141" s="12">
        <v>30.1452137932443</v>
      </c>
    </row>
    <row r="142" ht="13.5" customHeight="1">
      <c r="A142" s="11" t="s">
        <v>407</v>
      </c>
      <c r="B142" s="11" t="s">
        <v>408</v>
      </c>
      <c r="C142" s="11" t="s">
        <v>23</v>
      </c>
      <c r="D142" s="13">
        <v>2226.058105</v>
      </c>
      <c r="E142" s="14" t="s">
        <v>407</v>
      </c>
      <c r="F142" s="12">
        <v>84.6649944502021</v>
      </c>
    </row>
    <row r="143" ht="13.5" customHeight="1">
      <c r="A143" s="11" t="s">
        <v>194</v>
      </c>
      <c r="B143" s="11" t="s">
        <v>193</v>
      </c>
      <c r="C143" s="11" t="s">
        <v>23</v>
      </c>
      <c r="D143" s="13">
        <v>2183.556824</v>
      </c>
      <c r="E143" s="14" t="s">
        <v>194</v>
      </c>
      <c r="F143" s="12">
        <v>47.7742708473822</v>
      </c>
    </row>
    <row r="144" ht="13.5" customHeight="1">
      <c r="A144" s="11" t="s">
        <v>338</v>
      </c>
      <c r="B144" s="11" t="s">
        <v>337</v>
      </c>
      <c r="C144" s="11" t="s">
        <v>23</v>
      </c>
      <c r="D144" s="13">
        <v>2173.003298</v>
      </c>
      <c r="E144" s="14" t="s">
        <v>338</v>
      </c>
      <c r="F144" s="12">
        <v>100.0</v>
      </c>
    </row>
    <row r="145" ht="13.5" customHeight="1">
      <c r="A145" s="11" t="s">
        <v>410</v>
      </c>
      <c r="B145" s="11" t="s">
        <v>409</v>
      </c>
      <c r="C145" s="11" t="s">
        <v>23</v>
      </c>
      <c r="D145" s="13">
        <v>2052.812988</v>
      </c>
      <c r="E145" s="14" t="s">
        <v>410</v>
      </c>
      <c r="F145" s="12">
        <v>45.3174611207778</v>
      </c>
    </row>
    <row r="146" ht="13.5" customHeight="1">
      <c r="A146" s="11" t="s">
        <v>124</v>
      </c>
      <c r="B146" s="11" t="s">
        <v>122</v>
      </c>
      <c r="C146" s="11" t="s">
        <v>23</v>
      </c>
      <c r="D146" s="13">
        <v>1941.278744</v>
      </c>
      <c r="E146" s="14" t="s">
        <v>124</v>
      </c>
      <c r="F146" s="12">
        <v>62.4519488292087</v>
      </c>
    </row>
    <row r="147" ht="13.5" customHeight="1">
      <c r="A147" s="11" t="s">
        <v>401</v>
      </c>
      <c r="B147" s="11" t="s">
        <v>400</v>
      </c>
      <c r="C147" s="11" t="s">
        <v>23</v>
      </c>
      <c r="D147" s="13">
        <v>1858.8765</v>
      </c>
      <c r="E147" s="14" t="s">
        <v>401</v>
      </c>
      <c r="F147" s="12">
        <v>46.4846711596842</v>
      </c>
    </row>
    <row r="148" ht="13.5" customHeight="1">
      <c r="A148" s="11" t="s">
        <v>414</v>
      </c>
      <c r="B148" s="11" t="s">
        <v>415</v>
      </c>
      <c r="C148" s="11" t="s">
        <v>23</v>
      </c>
      <c r="D148" s="13">
        <v>1806.383673</v>
      </c>
      <c r="E148" s="14" t="s">
        <v>416</v>
      </c>
      <c r="F148" s="12">
        <v>36.9324919563355</v>
      </c>
    </row>
    <row r="149" ht="13.5" customHeight="1">
      <c r="A149" s="11" t="s">
        <v>417</v>
      </c>
      <c r="B149" s="11" t="s">
        <v>418</v>
      </c>
      <c r="C149" s="11" t="s">
        <v>23</v>
      </c>
      <c r="D149" s="13">
        <v>1692.841661</v>
      </c>
      <c r="E149" s="14" t="s">
        <v>417</v>
      </c>
      <c r="F149" s="12">
        <v>35.8870068714684</v>
      </c>
    </row>
    <row r="150" ht="13.5" customHeight="1">
      <c r="A150" s="11" t="s">
        <v>245</v>
      </c>
      <c r="B150" s="11" t="s">
        <v>242</v>
      </c>
      <c r="C150" s="11" t="s">
        <v>23</v>
      </c>
      <c r="D150" s="13">
        <v>1671.726602</v>
      </c>
      <c r="E150" s="14" t="s">
        <v>243</v>
      </c>
      <c r="F150" s="12">
        <v>100.0</v>
      </c>
    </row>
    <row r="151" ht="13.5" customHeight="1">
      <c r="A151" s="11" t="s">
        <v>419</v>
      </c>
      <c r="B151" s="11" t="s">
        <v>420</v>
      </c>
      <c r="C151" s="11" t="s">
        <v>23</v>
      </c>
      <c r="D151" s="13">
        <v>1635.087312</v>
      </c>
      <c r="E151" s="14" t="s">
        <v>419</v>
      </c>
      <c r="F151" s="12">
        <v>72.1216147745913</v>
      </c>
    </row>
    <row r="152" ht="13.5" customHeight="1">
      <c r="A152" s="11" t="s">
        <v>423</v>
      </c>
      <c r="B152" s="11" t="s">
        <v>424</v>
      </c>
      <c r="C152" s="11" t="s">
        <v>23</v>
      </c>
      <c r="D152" s="13">
        <v>1517.618388</v>
      </c>
      <c r="E152" s="14" t="s">
        <v>423</v>
      </c>
      <c r="F152" s="12">
        <v>44.3883093621283</v>
      </c>
    </row>
    <row r="153" ht="13.5" customHeight="1">
      <c r="A153" s="11" t="s">
        <v>425</v>
      </c>
      <c r="B153" s="11" t="s">
        <v>426</v>
      </c>
      <c r="C153" s="11" t="s">
        <v>23</v>
      </c>
      <c r="D153" s="13">
        <v>1501.222079</v>
      </c>
      <c r="E153" s="14" t="s">
        <v>429</v>
      </c>
      <c r="F153" s="12">
        <v>100.0</v>
      </c>
    </row>
    <row r="154" ht="13.5" customHeight="1">
      <c r="A154" s="11" t="s">
        <v>430</v>
      </c>
      <c r="B154" s="11" t="s">
        <v>431</v>
      </c>
      <c r="C154" s="11" t="s">
        <v>23</v>
      </c>
      <c r="D154" s="13">
        <v>1496.338134</v>
      </c>
      <c r="E154" s="14" t="s">
        <v>430</v>
      </c>
      <c r="F154" s="12">
        <v>81.2305184808132</v>
      </c>
    </row>
    <row r="155" ht="13.5" customHeight="1">
      <c r="A155" s="11" t="s">
        <v>199</v>
      </c>
      <c r="B155" s="11" t="s">
        <v>198</v>
      </c>
      <c r="C155" s="11" t="s">
        <v>23</v>
      </c>
      <c r="D155" s="13">
        <v>1480.730974</v>
      </c>
      <c r="E155" s="14" t="s">
        <v>199</v>
      </c>
      <c r="F155" s="12">
        <v>100.0</v>
      </c>
    </row>
    <row r="156" ht="13.5" customHeight="1">
      <c r="A156" s="11" t="s">
        <v>413</v>
      </c>
      <c r="B156" s="11" t="s">
        <v>411</v>
      </c>
      <c r="C156" s="11" t="s">
        <v>23</v>
      </c>
      <c r="D156" s="13">
        <v>1423.586247</v>
      </c>
      <c r="E156" s="14" t="s">
        <v>412</v>
      </c>
      <c r="F156" s="12">
        <v>77.9589473760493</v>
      </c>
    </row>
    <row r="157" ht="13.5" customHeight="1">
      <c r="A157" s="11" t="s">
        <v>432</v>
      </c>
      <c r="B157" s="11" t="s">
        <v>433</v>
      </c>
      <c r="C157" s="11" t="s">
        <v>23</v>
      </c>
      <c r="D157" s="13">
        <v>1416.800655</v>
      </c>
      <c r="E157" s="14" t="s">
        <v>432</v>
      </c>
      <c r="F157" s="12">
        <v>81.8719902726531</v>
      </c>
    </row>
    <row r="158" ht="13.5" customHeight="1">
      <c r="A158" s="11" t="s">
        <v>237</v>
      </c>
      <c r="B158" s="11" t="s">
        <v>236</v>
      </c>
      <c r="C158" s="11" t="s">
        <v>23</v>
      </c>
      <c r="D158" s="13">
        <v>1402.526143</v>
      </c>
      <c r="E158" s="14" t="s">
        <v>237</v>
      </c>
      <c r="F158" s="12">
        <v>36.6262926347333</v>
      </c>
    </row>
    <row r="159" ht="13.5" customHeight="1">
      <c r="A159" s="11" t="s">
        <v>436</v>
      </c>
      <c r="B159" s="11" t="s">
        <v>437</v>
      </c>
      <c r="C159" s="11" t="s">
        <v>23</v>
      </c>
      <c r="D159" s="13">
        <v>1373.270821</v>
      </c>
      <c r="E159" s="14" t="s">
        <v>436</v>
      </c>
      <c r="F159" s="12">
        <v>29.5636101079553</v>
      </c>
    </row>
    <row r="160" ht="13.5" customHeight="1">
      <c r="A160" s="11" t="s">
        <v>438</v>
      </c>
      <c r="B160" s="11" t="s">
        <v>439</v>
      </c>
      <c r="C160" s="11" t="s">
        <v>23</v>
      </c>
      <c r="D160" s="13">
        <v>1343.389664</v>
      </c>
      <c r="E160" s="14" t="s">
        <v>438</v>
      </c>
      <c r="F160" s="12">
        <v>78.1886852757817</v>
      </c>
    </row>
    <row r="161" ht="13.5" customHeight="1">
      <c r="A161" s="11" t="s">
        <v>146</v>
      </c>
      <c r="B161" s="11" t="s">
        <v>144</v>
      </c>
      <c r="C161" s="11" t="s">
        <v>23</v>
      </c>
      <c r="D161" s="13">
        <v>1324.783126</v>
      </c>
      <c r="E161" s="14" t="s">
        <v>146</v>
      </c>
      <c r="F161" s="12">
        <v>37.5738819869525</v>
      </c>
    </row>
    <row r="162" ht="13.5" customHeight="1">
      <c r="A162" s="11" t="s">
        <v>442</v>
      </c>
      <c r="B162" s="11" t="s">
        <v>443</v>
      </c>
      <c r="C162" s="11" t="s">
        <v>23</v>
      </c>
      <c r="D162" s="13">
        <v>1179.954993</v>
      </c>
      <c r="E162" s="14" t="s">
        <v>442</v>
      </c>
      <c r="F162" s="12">
        <v>38.8202808656692</v>
      </c>
    </row>
    <row r="163" ht="13.5" customHeight="1">
      <c r="A163" s="11" t="s">
        <v>444</v>
      </c>
      <c r="B163" s="11" t="s">
        <v>445</v>
      </c>
      <c r="C163" s="11" t="s">
        <v>23</v>
      </c>
      <c r="D163" s="13">
        <v>1158.479281</v>
      </c>
      <c r="E163" s="14" t="s">
        <v>444</v>
      </c>
      <c r="F163" s="12">
        <v>100.0</v>
      </c>
    </row>
    <row r="164" ht="13.5" customHeight="1">
      <c r="A164" s="11" t="s">
        <v>365</v>
      </c>
      <c r="B164" s="11" t="s">
        <v>364</v>
      </c>
      <c r="C164" s="11" t="s">
        <v>23</v>
      </c>
      <c r="D164" s="13">
        <v>1154.688419</v>
      </c>
      <c r="E164" s="14" t="s">
        <v>365</v>
      </c>
      <c r="F164" s="12">
        <v>24.9972856385386</v>
      </c>
    </row>
    <row r="165" ht="13.5" customHeight="1">
      <c r="A165" s="11" t="s">
        <v>448</v>
      </c>
      <c r="B165" s="11" t="s">
        <v>449</v>
      </c>
      <c r="C165" s="11" t="s">
        <v>23</v>
      </c>
      <c r="D165" s="13">
        <v>1149.21889</v>
      </c>
      <c r="E165" s="14" t="s">
        <v>448</v>
      </c>
      <c r="F165" s="12">
        <v>65.8268083550065</v>
      </c>
    </row>
    <row r="166" ht="13.5" customHeight="1">
      <c r="A166" s="11" t="s">
        <v>450</v>
      </c>
      <c r="B166" s="11" t="s">
        <v>451</v>
      </c>
      <c r="C166" s="11" t="s">
        <v>23</v>
      </c>
      <c r="D166" s="13">
        <v>1137.290056</v>
      </c>
      <c r="E166" s="14" t="s">
        <v>450</v>
      </c>
      <c r="F166" s="12">
        <v>39.8193127000302</v>
      </c>
    </row>
    <row r="167" ht="13.5" customHeight="1">
      <c r="A167" s="11" t="s">
        <v>452</v>
      </c>
      <c r="B167" s="11" t="s">
        <v>453</v>
      </c>
      <c r="C167" s="11" t="s">
        <v>23</v>
      </c>
      <c r="D167" s="13">
        <v>1120.77417</v>
      </c>
      <c r="E167" s="14" t="s">
        <v>454</v>
      </c>
      <c r="F167" s="12">
        <v>66.8761621688462</v>
      </c>
    </row>
    <row r="168" ht="13.5" customHeight="1">
      <c r="A168" s="11" t="s">
        <v>455</v>
      </c>
      <c r="B168" s="11" t="s">
        <v>456</v>
      </c>
      <c r="C168" s="11" t="s">
        <v>23</v>
      </c>
      <c r="D168" s="13">
        <v>1053.816538</v>
      </c>
      <c r="E168" s="14" t="s">
        <v>455</v>
      </c>
      <c r="F168" s="12">
        <v>36.5908165073104</v>
      </c>
    </row>
    <row r="169" ht="13.5" customHeight="1">
      <c r="A169" s="11" t="s">
        <v>357</v>
      </c>
      <c r="B169" s="11" t="s">
        <v>356</v>
      </c>
      <c r="C169" s="11" t="s">
        <v>23</v>
      </c>
      <c r="D169" s="13">
        <v>1045.922075</v>
      </c>
      <c r="E169" s="14" t="s">
        <v>357</v>
      </c>
      <c r="F169" s="12">
        <v>47.0416356640045</v>
      </c>
    </row>
    <row r="170" ht="13.5" customHeight="1">
      <c r="A170" s="11" t="s">
        <v>457</v>
      </c>
      <c r="B170" s="11" t="s">
        <v>458</v>
      </c>
      <c r="C170" s="11" t="s">
        <v>23</v>
      </c>
      <c r="D170" s="13">
        <v>1043.159615</v>
      </c>
      <c r="E170" s="14" t="s">
        <v>457</v>
      </c>
      <c r="F170" s="12">
        <v>50.2326309607348</v>
      </c>
    </row>
    <row r="171" ht="13.5" customHeight="1">
      <c r="A171" s="11" t="s">
        <v>422</v>
      </c>
      <c r="B171" s="11" t="s">
        <v>421</v>
      </c>
      <c r="C171" s="11" t="s">
        <v>23</v>
      </c>
      <c r="D171" s="13">
        <v>1012.593795</v>
      </c>
      <c r="E171" s="14" t="s">
        <v>422</v>
      </c>
      <c r="F171" s="12">
        <v>24.5636877849985</v>
      </c>
    </row>
    <row r="172" ht="13.5" customHeight="1">
      <c r="A172" s="11" t="s">
        <v>459</v>
      </c>
      <c r="B172" s="11" t="s">
        <v>460</v>
      </c>
      <c r="C172" s="11" t="s">
        <v>23</v>
      </c>
      <c r="D172" s="13">
        <v>986.0901454</v>
      </c>
      <c r="E172" s="14" t="s">
        <v>459</v>
      </c>
      <c r="F172" s="12">
        <v>51.0338422192264</v>
      </c>
    </row>
    <row r="173" ht="13.5" customHeight="1">
      <c r="A173" s="11" t="s">
        <v>447</v>
      </c>
      <c r="B173" s="11" t="s">
        <v>446</v>
      </c>
      <c r="C173" s="11" t="s">
        <v>23</v>
      </c>
      <c r="D173" s="13">
        <v>910.3003763</v>
      </c>
      <c r="E173" s="14" t="s">
        <v>447</v>
      </c>
      <c r="F173" s="12">
        <v>29.1465252556415</v>
      </c>
    </row>
    <row r="174" ht="13.5" customHeight="1">
      <c r="A174" s="11" t="s">
        <v>314</v>
      </c>
      <c r="B174" s="11" t="s">
        <v>313</v>
      </c>
      <c r="C174" s="11" t="s">
        <v>23</v>
      </c>
      <c r="D174" s="13">
        <v>883.4585886</v>
      </c>
      <c r="E174" s="14" t="s">
        <v>314</v>
      </c>
      <c r="F174" s="12">
        <v>51.5770239048462</v>
      </c>
    </row>
    <row r="175" ht="13.5" customHeight="1">
      <c r="A175" s="11" t="s">
        <v>215</v>
      </c>
      <c r="B175" s="11" t="s">
        <v>214</v>
      </c>
      <c r="C175" s="11" t="s">
        <v>23</v>
      </c>
      <c r="D175" s="13">
        <v>855.9993532</v>
      </c>
      <c r="E175" s="14" t="s">
        <v>215</v>
      </c>
      <c r="F175" s="12">
        <v>100.0</v>
      </c>
    </row>
    <row r="176" ht="13.5" customHeight="1">
      <c r="A176" s="11" t="s">
        <v>361</v>
      </c>
      <c r="B176" s="11" t="s">
        <v>359</v>
      </c>
      <c r="C176" s="11" t="s">
        <v>23</v>
      </c>
      <c r="D176" s="13">
        <v>785.9102196</v>
      </c>
      <c r="E176" s="14" t="s">
        <v>361</v>
      </c>
      <c r="F176" s="12">
        <v>34.1794145193148</v>
      </c>
    </row>
    <row r="177" ht="13.5" customHeight="1">
      <c r="A177" s="11" t="s">
        <v>182</v>
      </c>
      <c r="B177" s="11" t="s">
        <v>181</v>
      </c>
      <c r="C177" s="11" t="s">
        <v>23</v>
      </c>
      <c r="D177" s="13">
        <v>764.0826256</v>
      </c>
      <c r="E177" s="14" t="s">
        <v>182</v>
      </c>
      <c r="F177" s="12">
        <v>35.1850310971961</v>
      </c>
    </row>
    <row r="178" ht="13.5" customHeight="1">
      <c r="A178" s="11" t="s">
        <v>332</v>
      </c>
      <c r="B178" s="11" t="s">
        <v>330</v>
      </c>
      <c r="C178" s="11" t="s">
        <v>23</v>
      </c>
      <c r="D178" s="13">
        <v>758.9658888</v>
      </c>
      <c r="E178" s="14" t="s">
        <v>331</v>
      </c>
      <c r="F178" s="12">
        <v>40.9657561633232</v>
      </c>
    </row>
    <row r="179" ht="13.5" customHeight="1">
      <c r="A179" s="11" t="s">
        <v>428</v>
      </c>
      <c r="B179" s="11" t="s">
        <v>427</v>
      </c>
      <c r="C179" s="11" t="s">
        <v>23</v>
      </c>
      <c r="D179" s="13">
        <v>665.1013376</v>
      </c>
      <c r="E179" s="14" t="s">
        <v>428</v>
      </c>
      <c r="F179" s="12">
        <v>40.6352946569328</v>
      </c>
    </row>
    <row r="180" ht="13.5" customHeight="1">
      <c r="A180" s="11" t="s">
        <v>462</v>
      </c>
      <c r="B180" s="11" t="s">
        <v>461</v>
      </c>
      <c r="C180" s="11" t="s">
        <v>23</v>
      </c>
      <c r="D180" s="13">
        <v>605.7634814</v>
      </c>
      <c r="E180" s="14" t="s">
        <v>462</v>
      </c>
      <c r="F180" s="12">
        <v>100.0</v>
      </c>
    </row>
    <row r="181" ht="13.5" customHeight="1">
      <c r="A181" s="11" t="s">
        <v>463</v>
      </c>
      <c r="B181" s="11" t="s">
        <v>464</v>
      </c>
      <c r="C181" s="11" t="s">
        <v>23</v>
      </c>
      <c r="D181" s="13">
        <v>589.0856433</v>
      </c>
      <c r="E181" s="14" t="s">
        <v>463</v>
      </c>
      <c r="F181" s="12">
        <v>100.0</v>
      </c>
    </row>
    <row r="182" ht="13.5" customHeight="1">
      <c r="A182" s="11" t="s">
        <v>465</v>
      </c>
      <c r="B182" s="11" t="s">
        <v>466</v>
      </c>
      <c r="C182" s="11" t="s">
        <v>23</v>
      </c>
      <c r="D182" s="13">
        <v>578.3891602</v>
      </c>
      <c r="E182" s="14" t="s">
        <v>465</v>
      </c>
      <c r="F182" s="12">
        <v>62.9783195179645</v>
      </c>
    </row>
    <row r="183" ht="13.5" customHeight="1">
      <c r="A183" s="11" t="s">
        <v>271</v>
      </c>
      <c r="B183" s="11" t="s">
        <v>268</v>
      </c>
      <c r="C183" s="11" t="s">
        <v>23</v>
      </c>
      <c r="D183" s="13">
        <v>554.11761</v>
      </c>
      <c r="E183" s="14" t="s">
        <v>269</v>
      </c>
      <c r="F183" s="12">
        <v>85.4847996742268</v>
      </c>
    </row>
    <row r="184" ht="13.5" customHeight="1">
      <c r="A184" s="11" t="s">
        <v>441</v>
      </c>
      <c r="B184" s="11" t="s">
        <v>440</v>
      </c>
      <c r="C184" s="11" t="s">
        <v>23</v>
      </c>
      <c r="D184" s="13">
        <v>551.9515235</v>
      </c>
      <c r="E184" s="14" t="s">
        <v>441</v>
      </c>
      <c r="F184" s="12">
        <v>55.0787642318862</v>
      </c>
    </row>
    <row r="185" ht="13.5" customHeight="1">
      <c r="A185" s="11" t="s">
        <v>469</v>
      </c>
      <c r="B185" s="11" t="s">
        <v>470</v>
      </c>
      <c r="C185" s="11" t="s">
        <v>23</v>
      </c>
      <c r="D185" s="13">
        <v>467.2699102</v>
      </c>
      <c r="E185" s="14" t="s">
        <v>471</v>
      </c>
      <c r="F185" s="12">
        <v>28.4251294112976</v>
      </c>
    </row>
    <row r="186" ht="13.5" customHeight="1">
      <c r="A186" s="11" t="s">
        <v>435</v>
      </c>
      <c r="B186" s="11" t="s">
        <v>434</v>
      </c>
      <c r="C186" s="11" t="s">
        <v>23</v>
      </c>
      <c r="D186" s="13">
        <v>453.9578097</v>
      </c>
      <c r="E186" s="14" t="s">
        <v>435</v>
      </c>
      <c r="F186" s="12">
        <v>39.8853627405346</v>
      </c>
    </row>
    <row r="187" ht="13.5" customHeight="1">
      <c r="A187" s="11" t="s">
        <v>211</v>
      </c>
      <c r="B187" s="11" t="s">
        <v>209</v>
      </c>
      <c r="C187" s="11" t="s">
        <v>23</v>
      </c>
      <c r="D187" s="13">
        <v>389.938308</v>
      </c>
      <c r="E187" s="14" t="s">
        <v>210</v>
      </c>
      <c r="F187" s="12">
        <v>34.5393619028944</v>
      </c>
    </row>
    <row r="188" ht="13.5" customHeight="1">
      <c r="A188" s="11" t="s">
        <v>48</v>
      </c>
      <c r="B188" s="11" t="s">
        <v>46</v>
      </c>
      <c r="C188" s="11" t="s">
        <v>23</v>
      </c>
      <c r="D188" s="13">
        <v>374.3766962</v>
      </c>
      <c r="E188" s="14" t="s">
        <v>48</v>
      </c>
      <c r="F188" s="12">
        <v>39.7653719919693</v>
      </c>
    </row>
    <row r="189" ht="13.5" customHeight="1">
      <c r="A189" s="11" t="s">
        <v>186</v>
      </c>
      <c r="B189" s="11" t="s">
        <v>185</v>
      </c>
      <c r="C189" s="11" t="s">
        <v>23</v>
      </c>
      <c r="D189" s="13">
        <v>268.7008574</v>
      </c>
      <c r="E189" s="14" t="s">
        <v>186</v>
      </c>
      <c r="F189" s="12">
        <v>40.1393985329312</v>
      </c>
    </row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custom" allowBlank="1" showDropDown="1" sqref="D2:D189 F2:F189">
      <formula1>AND(ISNUMBER(D2),(NOT(OR(NOT(ISERROR(DATEVALUE(D2))), AND(ISNUMBER(D2), LEFT(CELL("format", D2))="D")))))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8.0"/>
    <col customWidth="1" min="3" max="3" width="10.0"/>
    <col customWidth="1" min="4" max="4" width="27.43"/>
    <col customWidth="1" min="5" max="5" width="19.14"/>
    <col customWidth="1" min="6" max="6" width="20.86"/>
    <col customWidth="1" min="7" max="7" width="21.0"/>
    <col customWidth="1" min="8" max="9" width="20.57"/>
    <col customWidth="1" min="10" max="10" width="30.0"/>
    <col customWidth="1" min="11" max="26" width="8.86"/>
  </cols>
  <sheetData>
    <row r="1" ht="31.5" customHeight="1">
      <c r="A1" s="10" t="s">
        <v>92</v>
      </c>
      <c r="B1" s="10" t="s">
        <v>95</v>
      </c>
      <c r="C1" s="10" t="s">
        <v>37</v>
      </c>
      <c r="D1" s="10" t="s">
        <v>42</v>
      </c>
      <c r="E1" s="10" t="s">
        <v>98</v>
      </c>
      <c r="F1" s="10" t="s">
        <v>99</v>
      </c>
      <c r="G1" s="10" t="s">
        <v>100</v>
      </c>
      <c r="H1" s="10" t="s">
        <v>101</v>
      </c>
      <c r="I1" s="10" t="s">
        <v>41</v>
      </c>
      <c r="J1" s="10" t="s">
        <v>38</v>
      </c>
    </row>
    <row r="2" ht="13.5" customHeight="1">
      <c r="A2" s="16">
        <f t="shared" ref="A2:A189" si="1">ROW()-1</f>
        <v>1</v>
      </c>
      <c r="B2" s="11" t="str">
        <f>'GDP Source - Filtered'!E2</f>
        <v>Bermuda</v>
      </c>
      <c r="C2" s="11" t="str">
        <f>'GDP Source - Filtered'!B2</f>
        <v>BMU</v>
      </c>
      <c r="D2" s="13">
        <f>'GDP Source - Filtered'!D2</f>
        <v>116513.5366</v>
      </c>
      <c r="E2" s="17">
        <f t="shared" ref="E2:E189" si="2">LN(D2)</f>
        <v>11.66576274</v>
      </c>
      <c r="F2" s="17">
        <f>Parameters!$B$5</f>
        <v>5.593598707</v>
      </c>
      <c r="G2" s="17">
        <f>Parameters!$B$6</f>
        <v>11.66576274</v>
      </c>
      <c r="H2" s="12">
        <f t="shared" ref="H2:H189" si="3">100*(E2-F2)/(G2-F2)</f>
        <v>100</v>
      </c>
      <c r="I2" s="12">
        <f>'GDP Source - Filtered'!F2</f>
        <v>42.28117153</v>
      </c>
      <c r="J2" s="11" t="str">
        <f>'GDP Source - Filtered'!A2</f>
        <v>Bermuda</v>
      </c>
    </row>
    <row r="3" ht="13.5" customHeight="1">
      <c r="A3" s="16">
        <f t="shared" si="1"/>
        <v>2</v>
      </c>
      <c r="B3" s="11" t="str">
        <f>'GDP Source - Filtered'!E3</f>
        <v>Luxembourg</v>
      </c>
      <c r="C3" s="11" t="str">
        <f>'GDP Source - Filtered'!B3</f>
        <v>LUX</v>
      </c>
      <c r="D3" s="13">
        <f>'GDP Source - Filtered'!D3</f>
        <v>104147.1113</v>
      </c>
      <c r="E3" s="17">
        <f t="shared" si="2"/>
        <v>11.55355971</v>
      </c>
      <c r="F3" s="17">
        <f>Parameters!$B$5</f>
        <v>5.593598707</v>
      </c>
      <c r="G3" s="17">
        <f>Parameters!$B$6</f>
        <v>11.66576274</v>
      </c>
      <c r="H3" s="12">
        <f t="shared" si="3"/>
        <v>98.15217395</v>
      </c>
      <c r="I3" s="12">
        <f>'GDP Source - Filtered'!F3</f>
        <v>44.15480082</v>
      </c>
      <c r="J3" s="11" t="str">
        <f>'GDP Source - Filtered'!A3</f>
        <v>Luxembourg</v>
      </c>
    </row>
    <row r="4" ht="13.5" customHeight="1">
      <c r="A4" s="16">
        <f t="shared" si="1"/>
        <v>3</v>
      </c>
      <c r="B4" s="11" t="str">
        <f>'GDP Source - Filtered'!E4</f>
        <v>Ireland</v>
      </c>
      <c r="C4" s="11" t="str">
        <f>'GDP Source - Filtered'!B4</f>
        <v>IRL</v>
      </c>
      <c r="D4" s="13">
        <f>'GDP Source - Filtered'!D4</f>
        <v>94474.98797</v>
      </c>
      <c r="E4" s="17">
        <f t="shared" si="2"/>
        <v>11.4560904</v>
      </c>
      <c r="F4" s="17">
        <f>Parameters!$B$5</f>
        <v>5.593598707</v>
      </c>
      <c r="G4" s="17">
        <f>Parameters!$B$6</f>
        <v>11.66576274</v>
      </c>
      <c r="H4" s="12">
        <f t="shared" si="3"/>
        <v>96.54699153</v>
      </c>
      <c r="I4" s="12">
        <f>'GDP Source - Filtered'!F4</f>
        <v>53.80429229</v>
      </c>
      <c r="J4" s="11" t="str">
        <f>'GDP Source - Filtered'!A4</f>
        <v>Ireland</v>
      </c>
    </row>
    <row r="5" ht="13.5" customHeight="1">
      <c r="A5" s="16">
        <f t="shared" si="1"/>
        <v>4</v>
      </c>
      <c r="B5" s="11" t="str">
        <f>'GDP Source - Filtered'!E5</f>
        <v>Switzerland</v>
      </c>
      <c r="C5" s="11" t="str">
        <f>'GDP Source - Filtered'!B5</f>
        <v>CHE</v>
      </c>
      <c r="D5" s="13">
        <f>'GDP Source - Filtered'!D5</f>
        <v>93018.37687</v>
      </c>
      <c r="E5" s="17">
        <f t="shared" si="2"/>
        <v>11.44055235</v>
      </c>
      <c r="F5" s="17">
        <f>Parameters!$B$5</f>
        <v>5.593598707</v>
      </c>
      <c r="G5" s="17">
        <f>Parameters!$B$6</f>
        <v>11.66576274</v>
      </c>
      <c r="H5" s="12">
        <f t="shared" si="3"/>
        <v>96.29110174</v>
      </c>
      <c r="I5" s="12">
        <f>'GDP Source - Filtered'!F5</f>
        <v>71.71408812</v>
      </c>
      <c r="J5" s="11" t="str">
        <f>'GDP Source - Filtered'!A5</f>
        <v>Switzerland</v>
      </c>
    </row>
    <row r="6" ht="13.5" customHeight="1">
      <c r="A6" s="16">
        <f t="shared" si="1"/>
        <v>5</v>
      </c>
      <c r="B6" s="11" t="str">
        <f>'GDP Source - Filtered'!E6</f>
        <v>Cayman Isds</v>
      </c>
      <c r="C6" s="11" t="str">
        <f>'GDP Source - Filtered'!B6</f>
        <v>CYM</v>
      </c>
      <c r="D6" s="13">
        <f>'GDP Source - Filtered'!D6</f>
        <v>84381.47314</v>
      </c>
      <c r="E6" s="17">
        <f t="shared" si="2"/>
        <v>11.34310314</v>
      </c>
      <c r="F6" s="17">
        <f>Parameters!$B$5</f>
        <v>5.593598707</v>
      </c>
      <c r="G6" s="17">
        <f>Parameters!$B$6</f>
        <v>11.66576274</v>
      </c>
      <c r="H6" s="12">
        <f t="shared" si="3"/>
        <v>94.68625035</v>
      </c>
      <c r="I6" s="12">
        <f>'GDP Source - Filtered'!F6</f>
        <v>36.36729669</v>
      </c>
      <c r="J6" s="11" t="str">
        <f>'GDP Source - Filtered'!A6</f>
        <v>Cayman Islands</v>
      </c>
    </row>
    <row r="7" ht="13.5" customHeight="1">
      <c r="A7" s="16">
        <f t="shared" si="1"/>
        <v>6</v>
      </c>
      <c r="B7" s="11" t="str">
        <f>'GDP Source - Filtered'!E7</f>
        <v>Norway</v>
      </c>
      <c r="C7" s="11" t="str">
        <f>'GDP Source - Filtered'!B7</f>
        <v>NOR</v>
      </c>
      <c r="D7" s="13">
        <f>'GDP Source - Filtered'!D7</f>
        <v>83487.13323</v>
      </c>
      <c r="E7" s="17">
        <f t="shared" si="2"/>
        <v>11.33244781</v>
      </c>
      <c r="F7" s="17">
        <f>Parameters!$B$5</f>
        <v>5.593598707</v>
      </c>
      <c r="G7" s="17">
        <f>Parameters!$B$6</f>
        <v>11.66576274</v>
      </c>
      <c r="H7" s="12">
        <f t="shared" si="3"/>
        <v>94.51077192</v>
      </c>
      <c r="I7" s="12">
        <f>'GDP Source - Filtered'!F7</f>
        <v>100</v>
      </c>
      <c r="J7" s="11" t="str">
        <f>'GDP Source - Filtered'!A7</f>
        <v>Norway</v>
      </c>
    </row>
    <row r="8" ht="13.5" customHeight="1">
      <c r="A8" s="16">
        <f t="shared" si="1"/>
        <v>7</v>
      </c>
      <c r="B8" s="11" t="str">
        <f>'GDP Source - Filtered'!E8</f>
        <v>Singapore</v>
      </c>
      <c r="C8" s="11" t="str">
        <f>'GDP Source - Filtered'!B8</f>
        <v>SGP</v>
      </c>
      <c r="D8" s="13">
        <f>'GDP Source - Filtered'!D8</f>
        <v>68129.69604</v>
      </c>
      <c r="E8" s="17">
        <f t="shared" si="2"/>
        <v>11.12916846</v>
      </c>
      <c r="F8" s="17">
        <f>Parameters!$B$5</f>
        <v>5.593598707</v>
      </c>
      <c r="G8" s="17">
        <f>Parameters!$B$6</f>
        <v>11.66576274</v>
      </c>
      <c r="H8" s="12">
        <f t="shared" si="3"/>
        <v>91.16304708</v>
      </c>
      <c r="I8" s="12">
        <f>'GDP Source - Filtered'!F8</f>
        <v>49.8916208</v>
      </c>
      <c r="J8" s="11" t="str">
        <f>'GDP Source - Filtered'!A8</f>
        <v>Singapore</v>
      </c>
    </row>
    <row r="9" ht="13.5" customHeight="1">
      <c r="A9" s="16">
        <f t="shared" si="1"/>
        <v>8</v>
      </c>
      <c r="B9" s="11" t="str">
        <f>'GDP Source - Filtered'!E9</f>
        <v>USA</v>
      </c>
      <c r="C9" s="11" t="str">
        <f>'GDP Source - Filtered'!B9</f>
        <v>USA</v>
      </c>
      <c r="D9" s="13">
        <f>'GDP Source - Filtered'!D9</f>
        <v>66856.51317</v>
      </c>
      <c r="E9" s="17">
        <f t="shared" si="2"/>
        <v>11.11030401</v>
      </c>
      <c r="F9" s="17">
        <f>Parameters!$B$5</f>
        <v>5.593598707</v>
      </c>
      <c r="G9" s="17">
        <f>Parameters!$B$6</f>
        <v>11.66576274</v>
      </c>
      <c r="H9" s="12">
        <f t="shared" si="3"/>
        <v>90.85237604</v>
      </c>
      <c r="I9" s="12">
        <f>'GDP Source - Filtered'!F9</f>
        <v>100</v>
      </c>
      <c r="J9" s="11" t="str">
        <f>'GDP Source - Filtered'!A9</f>
        <v>United States</v>
      </c>
    </row>
    <row r="10" ht="13.5" customHeight="1">
      <c r="A10" s="16">
        <f t="shared" si="1"/>
        <v>9</v>
      </c>
      <c r="B10" s="11" t="str">
        <f>'GDP Source - Filtered'!E10</f>
        <v>China, Macao SAR</v>
      </c>
      <c r="C10" s="11" t="str">
        <f>'GDP Source - Filtered'!B10</f>
        <v>MAC</v>
      </c>
      <c r="D10" s="13">
        <f>'GDP Source - Filtered'!D10</f>
        <v>63377.29321</v>
      </c>
      <c r="E10" s="17">
        <f t="shared" si="2"/>
        <v>11.05686093</v>
      </c>
      <c r="F10" s="17">
        <f>Parameters!$B$5</f>
        <v>5.593598707</v>
      </c>
      <c r="G10" s="17">
        <f>Parameters!$B$6</f>
        <v>11.66576274</v>
      </c>
      <c r="H10" s="12">
        <f t="shared" si="3"/>
        <v>89.97224365</v>
      </c>
      <c r="I10" s="12">
        <f>'GDP Source - Filtered'!F10</f>
        <v>33.14565596</v>
      </c>
      <c r="J10" s="11" t="str">
        <f>'GDP Source - Filtered'!A10</f>
        <v>Macao SAR, China</v>
      </c>
    </row>
    <row r="11" ht="13.5" customHeight="1">
      <c r="A11" s="16">
        <f t="shared" si="1"/>
        <v>10</v>
      </c>
      <c r="B11" s="11" t="str">
        <f>'GDP Source - Filtered'!E11</f>
        <v>Qatar</v>
      </c>
      <c r="C11" s="11" t="str">
        <f>'GDP Source - Filtered'!B11</f>
        <v>QAT</v>
      </c>
      <c r="D11" s="13">
        <f>'GDP Source - Filtered'!D11</f>
        <v>62395.31133</v>
      </c>
      <c r="E11" s="17">
        <f t="shared" si="2"/>
        <v>11.04124541</v>
      </c>
      <c r="F11" s="17">
        <f>Parameters!$B$5</f>
        <v>5.593598707</v>
      </c>
      <c r="G11" s="17">
        <f>Parameters!$B$6</f>
        <v>11.66576274</v>
      </c>
      <c r="H11" s="12">
        <f t="shared" si="3"/>
        <v>89.71507813</v>
      </c>
      <c r="I11" s="12">
        <f>'GDP Source - Filtered'!F11</f>
        <v>100</v>
      </c>
      <c r="J11" s="11" t="str">
        <f>'GDP Source - Filtered'!A11</f>
        <v>Qatar</v>
      </c>
    </row>
    <row r="12" ht="13.5" customHeight="1">
      <c r="A12" s="16">
        <f t="shared" si="1"/>
        <v>11</v>
      </c>
      <c r="B12" s="11" t="str">
        <f>'GDP Source - Filtered'!E12</f>
        <v>Australia</v>
      </c>
      <c r="C12" s="11" t="str">
        <f>'GDP Source - Filtered'!B12</f>
        <v>AUS</v>
      </c>
      <c r="D12" s="13">
        <f>'GDP Source - Filtered'!D12</f>
        <v>61486.38148</v>
      </c>
      <c r="E12" s="17">
        <f t="shared" si="2"/>
        <v>11.02657099</v>
      </c>
      <c r="F12" s="17">
        <f>Parameters!$B$5</f>
        <v>5.593598707</v>
      </c>
      <c r="G12" s="17">
        <f>Parameters!$B$6</f>
        <v>11.66576274</v>
      </c>
      <c r="H12" s="12">
        <f t="shared" si="3"/>
        <v>89.47341103</v>
      </c>
      <c r="I12" s="12">
        <f>'GDP Source - Filtered'!F12</f>
        <v>100</v>
      </c>
      <c r="J12" s="11" t="str">
        <f>'GDP Source - Filtered'!A12</f>
        <v>Australia</v>
      </c>
    </row>
    <row r="13" ht="13.5" customHeight="1">
      <c r="A13" s="16">
        <f t="shared" si="1"/>
        <v>12</v>
      </c>
      <c r="B13" s="11" t="str">
        <f>'GDP Source - Filtered'!E13</f>
        <v>Denmark</v>
      </c>
      <c r="C13" s="11" t="str">
        <f>'GDP Source - Filtered'!B13</f>
        <v>DNK</v>
      </c>
      <c r="D13" s="13">
        <f>'GDP Source - Filtered'!D13</f>
        <v>60772.86243</v>
      </c>
      <c r="E13" s="17">
        <f t="shared" si="2"/>
        <v>11.01489863</v>
      </c>
      <c r="F13" s="17">
        <f>Parameters!$B$5</f>
        <v>5.593598707</v>
      </c>
      <c r="G13" s="17">
        <f>Parameters!$B$6</f>
        <v>11.66576274</v>
      </c>
      <c r="H13" s="12">
        <f t="shared" si="3"/>
        <v>89.28118363</v>
      </c>
      <c r="I13" s="12">
        <f>'GDP Source - Filtered'!F13</f>
        <v>79.52959683</v>
      </c>
      <c r="J13" s="11" t="str">
        <f>'GDP Source - Filtered'!A13</f>
        <v>Denmark</v>
      </c>
    </row>
    <row r="14" ht="13.5" customHeight="1">
      <c r="A14" s="16">
        <f t="shared" si="1"/>
        <v>13</v>
      </c>
      <c r="B14" s="11" t="str">
        <f>'GDP Source - Filtered'!E14</f>
        <v>Iceland</v>
      </c>
      <c r="C14" s="11" t="str">
        <f>'GDP Source - Filtered'!B14</f>
        <v>ISL</v>
      </c>
      <c r="D14" s="13">
        <f>'GDP Source - Filtered'!D14</f>
        <v>59053.56484</v>
      </c>
      <c r="E14" s="17">
        <f t="shared" si="2"/>
        <v>10.98620019</v>
      </c>
      <c r="F14" s="17">
        <f>Parameters!$B$5</f>
        <v>5.593598707</v>
      </c>
      <c r="G14" s="17">
        <f>Parameters!$B$6</f>
        <v>11.66576274</v>
      </c>
      <c r="H14" s="12">
        <f t="shared" si="3"/>
        <v>88.80856074</v>
      </c>
      <c r="I14" s="12">
        <f>'GDP Source - Filtered'!F14</f>
        <v>77.95605178</v>
      </c>
      <c r="J14" s="11" t="str">
        <f>'GDP Source - Filtered'!A14</f>
        <v>Iceland</v>
      </c>
    </row>
    <row r="15" ht="13.5" customHeight="1">
      <c r="A15" s="16">
        <f t="shared" si="1"/>
        <v>14</v>
      </c>
      <c r="B15" s="11" t="str">
        <f>'GDP Source - Filtered'!E15</f>
        <v>Sweden</v>
      </c>
      <c r="C15" s="11" t="str">
        <f>'GDP Source - Filtered'!B15</f>
        <v>SWE</v>
      </c>
      <c r="D15" s="13">
        <f>'GDP Source - Filtered'!D15</f>
        <v>54316.26193</v>
      </c>
      <c r="E15" s="17">
        <f t="shared" si="2"/>
        <v>10.90257894</v>
      </c>
      <c r="F15" s="17">
        <f>Parameters!$B$5</f>
        <v>5.593598707</v>
      </c>
      <c r="G15" s="17">
        <f>Parameters!$B$6</f>
        <v>11.66576274</v>
      </c>
      <c r="H15" s="12">
        <f t="shared" si="3"/>
        <v>87.43143645</v>
      </c>
      <c r="I15" s="12">
        <f>'GDP Source - Filtered'!F15</f>
        <v>81.99576953</v>
      </c>
      <c r="J15" s="11" t="str">
        <f>'GDP Source - Filtered'!A15</f>
        <v>Sweden</v>
      </c>
    </row>
    <row r="16" ht="13.5" customHeight="1">
      <c r="A16" s="16">
        <f t="shared" si="1"/>
        <v>15</v>
      </c>
      <c r="B16" s="11" t="str">
        <f>'GDP Source - Filtered'!E16</f>
        <v>Netherlands</v>
      </c>
      <c r="C16" s="11" t="str">
        <f>'GDP Source - Filtered'!B16</f>
        <v>NLD</v>
      </c>
      <c r="D16" s="13">
        <f>'GDP Source - Filtered'!D16</f>
        <v>51174.89973</v>
      </c>
      <c r="E16" s="17">
        <f t="shared" si="2"/>
        <v>10.84300445</v>
      </c>
      <c r="F16" s="17">
        <f>Parameters!$B$5</f>
        <v>5.593598707</v>
      </c>
      <c r="G16" s="17">
        <f>Parameters!$B$6</f>
        <v>11.66576274</v>
      </c>
      <c r="H16" s="12">
        <f t="shared" si="3"/>
        <v>86.45032836</v>
      </c>
      <c r="I16" s="12">
        <f>'GDP Source - Filtered'!F16</f>
        <v>58.20907143</v>
      </c>
      <c r="J16" s="11" t="str">
        <f>'GDP Source - Filtered'!A16</f>
        <v>Netherlands</v>
      </c>
    </row>
    <row r="17" ht="13.5" customHeight="1">
      <c r="A17" s="16">
        <f t="shared" si="1"/>
        <v>16</v>
      </c>
      <c r="B17" s="11" t="str">
        <f>'GDP Source - Filtered'!E17</f>
        <v>United Kingdom</v>
      </c>
      <c r="C17" s="11" t="str">
        <f>'GDP Source - Filtered'!B17</f>
        <v>GBR</v>
      </c>
      <c r="D17" s="13">
        <f>'GDP Source - Filtered'!D17</f>
        <v>47900.96801</v>
      </c>
      <c r="E17" s="17">
        <f t="shared" si="2"/>
        <v>10.77689099</v>
      </c>
      <c r="F17" s="17">
        <f>Parameters!$B$5</f>
        <v>5.593598707</v>
      </c>
      <c r="G17" s="17">
        <f>Parameters!$B$6</f>
        <v>11.66576274</v>
      </c>
      <c r="H17" s="12">
        <f t="shared" si="3"/>
        <v>85.36153269</v>
      </c>
      <c r="I17" s="12">
        <f>'GDP Source - Filtered'!F17</f>
        <v>75.47063537</v>
      </c>
      <c r="J17" s="11" t="str">
        <f>'GDP Source - Filtered'!A17</f>
        <v>United Kingdom</v>
      </c>
    </row>
    <row r="18" ht="13.5" customHeight="1">
      <c r="A18" s="16">
        <f t="shared" si="1"/>
        <v>17</v>
      </c>
      <c r="B18" s="11" t="str">
        <f>'GDP Source - Filtered'!E18</f>
        <v>Austria</v>
      </c>
      <c r="C18" s="11" t="str">
        <f>'GDP Source - Filtered'!B18</f>
        <v>AUT</v>
      </c>
      <c r="D18" s="13">
        <f>'GDP Source - Filtered'!D18</f>
        <v>45958.82501</v>
      </c>
      <c r="E18" s="17">
        <f t="shared" si="2"/>
        <v>10.73550117</v>
      </c>
      <c r="F18" s="17">
        <f>Parameters!$B$5</f>
        <v>5.593598707</v>
      </c>
      <c r="G18" s="17">
        <f>Parameters!$B$6</f>
        <v>11.66576274</v>
      </c>
      <c r="H18" s="12">
        <f t="shared" si="3"/>
        <v>84.67990048</v>
      </c>
      <c r="I18" s="12">
        <f>'GDP Source - Filtered'!F18</f>
        <v>59.89932605</v>
      </c>
      <c r="J18" s="11" t="str">
        <f>'GDP Source - Filtered'!A18</f>
        <v>Austria</v>
      </c>
    </row>
    <row r="19" ht="13.5" customHeight="1">
      <c r="A19" s="16">
        <f t="shared" si="1"/>
        <v>18</v>
      </c>
      <c r="B19" s="11" t="str">
        <f>'GDP Source - Filtered'!E19</f>
        <v>Finland</v>
      </c>
      <c r="C19" s="11" t="str">
        <f>'GDP Source - Filtered'!B19</f>
        <v>FIN</v>
      </c>
      <c r="D19" s="13">
        <f>'GDP Source - Filtered'!D19</f>
        <v>45075.16849</v>
      </c>
      <c r="E19" s="17">
        <f t="shared" si="2"/>
        <v>10.71608679</v>
      </c>
      <c r="F19" s="17">
        <f>Parameters!$B$5</f>
        <v>5.593598707</v>
      </c>
      <c r="G19" s="17">
        <f>Parameters!$B$6</f>
        <v>11.66576274</v>
      </c>
      <c r="H19" s="12">
        <f t="shared" si="3"/>
        <v>84.36017295</v>
      </c>
      <c r="I19" s="12">
        <f>'GDP Source - Filtered'!F19</f>
        <v>75.310188</v>
      </c>
      <c r="J19" s="11" t="str">
        <f>'GDP Source - Filtered'!A19</f>
        <v>Finland</v>
      </c>
    </row>
    <row r="20" ht="13.5" customHeight="1">
      <c r="A20" s="16">
        <f t="shared" si="1"/>
        <v>19</v>
      </c>
      <c r="B20" s="11" t="str">
        <f>'GDP Source - Filtered'!E20</f>
        <v>Canada</v>
      </c>
      <c r="C20" s="11" t="str">
        <f>'GDP Source - Filtered'!B20</f>
        <v>CAN</v>
      </c>
      <c r="D20" s="13">
        <f>'GDP Source - Filtered'!D20</f>
        <v>45061.38646</v>
      </c>
      <c r="E20" s="17">
        <f t="shared" si="2"/>
        <v>10.71578098</v>
      </c>
      <c r="F20" s="17">
        <f>Parameters!$B$5</f>
        <v>5.593598707</v>
      </c>
      <c r="G20" s="17">
        <f>Parameters!$B$6</f>
        <v>11.66576274</v>
      </c>
      <c r="H20" s="12">
        <f t="shared" si="3"/>
        <v>84.35513679</v>
      </c>
      <c r="I20" s="12">
        <f>'GDP Source - Filtered'!F20</f>
        <v>100</v>
      </c>
      <c r="J20" s="11" t="str">
        <f>'GDP Source - Filtered'!A20</f>
        <v>Canada</v>
      </c>
    </row>
    <row r="21" ht="13.5" customHeight="1">
      <c r="A21" s="16">
        <f t="shared" si="1"/>
        <v>20</v>
      </c>
      <c r="B21" s="11" t="str">
        <f>'GDP Source - Filtered'!E21</f>
        <v>Belgium</v>
      </c>
      <c r="C21" s="11" t="str">
        <f>'GDP Source - Filtered'!B21</f>
        <v>BEL</v>
      </c>
      <c r="D21" s="13">
        <f>'GDP Source - Filtered'!D21</f>
        <v>45019.69897</v>
      </c>
      <c r="E21" s="17">
        <f t="shared" si="2"/>
        <v>10.71485543</v>
      </c>
      <c r="F21" s="17">
        <f>Parameters!$B$5</f>
        <v>5.593598707</v>
      </c>
      <c r="G21" s="17">
        <f>Parameters!$B$6</f>
        <v>11.66576274</v>
      </c>
      <c r="H21" s="12">
        <f t="shared" si="3"/>
        <v>84.33989421</v>
      </c>
      <c r="I21" s="12">
        <f>'GDP Source - Filtered'!F21</f>
        <v>53.04788474</v>
      </c>
      <c r="J21" s="11" t="str">
        <f>'GDP Source - Filtered'!A21</f>
        <v>Belgium</v>
      </c>
    </row>
    <row r="22" ht="13.5" customHeight="1">
      <c r="A22" s="16">
        <f t="shared" si="1"/>
        <v>21</v>
      </c>
      <c r="B22" s="11" t="str">
        <f>'GDP Source - Filtered'!E22</f>
        <v>China, Hong Kong SAR</v>
      </c>
      <c r="C22" s="11" t="str">
        <f>'GDP Source - Filtered'!B22</f>
        <v>HKG</v>
      </c>
      <c r="D22" s="13">
        <f>'GDP Source - Filtered'!D22</f>
        <v>44734.43653</v>
      </c>
      <c r="E22" s="17">
        <f t="shared" si="2"/>
        <v>10.70849888</v>
      </c>
      <c r="F22" s="17">
        <f>Parameters!$B$5</f>
        <v>5.593598707</v>
      </c>
      <c r="G22" s="17">
        <f>Parameters!$B$6</f>
        <v>11.66576274</v>
      </c>
      <c r="H22" s="12">
        <f t="shared" si="3"/>
        <v>84.23521074</v>
      </c>
      <c r="I22" s="12">
        <f>'GDP Source - Filtered'!F22</f>
        <v>42.53676588</v>
      </c>
      <c r="J22" s="11" t="str">
        <f>'GDP Source - Filtered'!A22</f>
        <v>Hong Kong SAR, China</v>
      </c>
    </row>
    <row r="23" ht="13.5" customHeight="1">
      <c r="A23" s="16">
        <f t="shared" si="1"/>
        <v>22</v>
      </c>
      <c r="B23" s="11" t="str">
        <f>'GDP Source - Filtered'!E23</f>
        <v>Germany</v>
      </c>
      <c r="C23" s="11" t="str">
        <f>'GDP Source - Filtered'!B23</f>
        <v>DEU</v>
      </c>
      <c r="D23" s="13">
        <f>'GDP Source - Filtered'!D23</f>
        <v>44027.76316</v>
      </c>
      <c r="E23" s="17">
        <f t="shared" si="2"/>
        <v>10.69257569</v>
      </c>
      <c r="F23" s="17">
        <f>Parameters!$B$5</f>
        <v>5.593598707</v>
      </c>
      <c r="G23" s="17">
        <f>Parameters!$B$6</f>
        <v>11.66576274</v>
      </c>
      <c r="H23" s="12">
        <f t="shared" si="3"/>
        <v>83.97297835</v>
      </c>
      <c r="I23" s="12">
        <f>'GDP Source - Filtered'!F23</f>
        <v>60.85710062</v>
      </c>
      <c r="J23" s="11" t="str">
        <f>'GDP Source - Filtered'!A23</f>
        <v>Germany</v>
      </c>
    </row>
    <row r="24" ht="13.5" customHeight="1">
      <c r="A24" s="16">
        <f t="shared" si="1"/>
        <v>23</v>
      </c>
      <c r="B24" s="11" t="str">
        <f>'GDP Source - Filtered'!E24</f>
        <v>Israel</v>
      </c>
      <c r="C24" s="11" t="str">
        <f>'GDP Source - Filtered'!B24</f>
        <v>ISR</v>
      </c>
      <c r="D24" s="13">
        <f>'GDP Source - Filtered'!D24</f>
        <v>41882.04747</v>
      </c>
      <c r="E24" s="17">
        <f t="shared" si="2"/>
        <v>10.64261255</v>
      </c>
      <c r="F24" s="17">
        <f>Parameters!$B$5</f>
        <v>5.593598707</v>
      </c>
      <c r="G24" s="17">
        <f>Parameters!$B$6</f>
        <v>11.66576274</v>
      </c>
      <c r="H24" s="12">
        <f t="shared" si="3"/>
        <v>83.15015568</v>
      </c>
      <c r="I24" s="12">
        <f>'GDP Source - Filtered'!F24</f>
        <v>99.62310606</v>
      </c>
      <c r="J24" s="11" t="str">
        <f>'GDP Source - Filtered'!A24</f>
        <v>Israel</v>
      </c>
    </row>
    <row r="25" ht="13.5" customHeight="1">
      <c r="A25" s="16">
        <f t="shared" si="1"/>
        <v>24</v>
      </c>
      <c r="B25" s="11" t="str">
        <f>'GDP Source - Filtered'!E25</f>
        <v>United Arab Emirates</v>
      </c>
      <c r="C25" s="11" t="str">
        <f>'GDP Source - Filtered'!B25</f>
        <v>ARE</v>
      </c>
      <c r="D25" s="13">
        <f>'GDP Source - Filtered'!D25</f>
        <v>41605.41387</v>
      </c>
      <c r="E25" s="17">
        <f t="shared" si="2"/>
        <v>10.63598558</v>
      </c>
      <c r="F25" s="17">
        <f>Parameters!$B$5</f>
        <v>5.593598707</v>
      </c>
      <c r="G25" s="17">
        <f>Parameters!$B$6</f>
        <v>11.66576274</v>
      </c>
      <c r="H25" s="12">
        <f t="shared" si="3"/>
        <v>83.04101874</v>
      </c>
      <c r="I25" s="12">
        <f>'GDP Source - Filtered'!F25</f>
        <v>100</v>
      </c>
      <c r="J25" s="11" t="str">
        <f>'GDP Source - Filtered'!A25</f>
        <v>United Arab Emirates</v>
      </c>
    </row>
    <row r="26" ht="13.5" customHeight="1">
      <c r="A26" s="16">
        <f t="shared" si="1"/>
        <v>25</v>
      </c>
      <c r="B26" s="11" t="str">
        <f>'GDP Source - Filtered'!E26</f>
        <v>New Zealand</v>
      </c>
      <c r="C26" s="11" t="str">
        <f>'GDP Source - Filtered'!B26</f>
        <v>NZL</v>
      </c>
      <c r="D26" s="13">
        <f>'GDP Source - Filtered'!D26</f>
        <v>41415.46706</v>
      </c>
      <c r="E26" s="17">
        <f t="shared" si="2"/>
        <v>10.63140969</v>
      </c>
      <c r="F26" s="17">
        <f>Parameters!$B$5</f>
        <v>5.593598707</v>
      </c>
      <c r="G26" s="17">
        <f>Parameters!$B$6</f>
        <v>11.66576274</v>
      </c>
      <c r="H26" s="12">
        <f t="shared" si="3"/>
        <v>82.9656603</v>
      </c>
      <c r="I26" s="12">
        <f>'GDP Source - Filtered'!F26</f>
        <v>74.54333109</v>
      </c>
      <c r="J26" s="11" t="str">
        <f>'GDP Source - Filtered'!A26</f>
        <v>New Zealand</v>
      </c>
    </row>
    <row r="27" ht="13.5" customHeight="1">
      <c r="A27" s="16">
        <f t="shared" si="1"/>
        <v>26</v>
      </c>
      <c r="B27" s="11" t="str">
        <f>'GDP Source - Filtered'!E27</f>
        <v>France</v>
      </c>
      <c r="C27" s="11" t="str">
        <f>'GDP Source - Filtered'!B27</f>
        <v>FRA</v>
      </c>
      <c r="D27" s="13">
        <f>'GDP Source - Filtered'!D27</f>
        <v>39683.39535</v>
      </c>
      <c r="E27" s="17">
        <f t="shared" si="2"/>
        <v>10.58868813</v>
      </c>
      <c r="F27" s="17">
        <f>Parameters!$B$5</f>
        <v>5.593598707</v>
      </c>
      <c r="G27" s="17">
        <f>Parameters!$B$6</f>
        <v>11.66576274</v>
      </c>
      <c r="H27" s="12">
        <f t="shared" si="3"/>
        <v>82.26209622</v>
      </c>
      <c r="I27" s="12">
        <f>'GDP Source - Filtered'!F27</f>
        <v>72.6390892</v>
      </c>
      <c r="J27" s="11" t="str">
        <f>'GDP Source - Filtered'!A27</f>
        <v>France</v>
      </c>
    </row>
    <row r="28" ht="13.5" customHeight="1">
      <c r="A28" s="16">
        <f t="shared" si="1"/>
        <v>27</v>
      </c>
      <c r="B28" s="11" t="str">
        <f>'GDP Source - Filtered'!E28</f>
        <v>Japan</v>
      </c>
      <c r="C28" s="11" t="str">
        <f>'GDP Source - Filtered'!B28</f>
        <v>JPN</v>
      </c>
      <c r="D28" s="13">
        <f>'GDP Source - Filtered'!D28</f>
        <v>37976.63718</v>
      </c>
      <c r="E28" s="17">
        <f t="shared" si="2"/>
        <v>10.54472644</v>
      </c>
      <c r="F28" s="17">
        <f>Parameters!$B$5</f>
        <v>5.593598707</v>
      </c>
      <c r="G28" s="17">
        <f>Parameters!$B$6</f>
        <v>11.66576274</v>
      </c>
      <c r="H28" s="12">
        <f t="shared" si="3"/>
        <v>81.53810907</v>
      </c>
      <c r="I28" s="12">
        <f>'GDP Source - Filtered'!F28</f>
        <v>55.24149241</v>
      </c>
      <c r="J28" s="11" t="str">
        <f>'GDP Source - Filtered'!A28</f>
        <v>Japan</v>
      </c>
    </row>
    <row r="29" ht="13.5" customHeight="1">
      <c r="A29" s="16">
        <f t="shared" si="1"/>
        <v>28</v>
      </c>
      <c r="B29" s="11" t="str">
        <f>'GDP Source - Filtered'!E29</f>
        <v>Rep. of Korea</v>
      </c>
      <c r="C29" s="11" t="str">
        <f>'GDP Source - Filtered'!B29</f>
        <v>KOR</v>
      </c>
      <c r="D29" s="13">
        <f>'GDP Source - Filtered'!D29</f>
        <v>37048.4264</v>
      </c>
      <c r="E29" s="17">
        <f t="shared" si="2"/>
        <v>10.51998116</v>
      </c>
      <c r="F29" s="17">
        <f>Parameters!$B$5</f>
        <v>5.593598707</v>
      </c>
      <c r="G29" s="17">
        <f>Parameters!$B$6</f>
        <v>11.66576274</v>
      </c>
      <c r="H29" s="12">
        <f t="shared" si="3"/>
        <v>81.1305891</v>
      </c>
      <c r="I29" s="12">
        <f>'GDP Source - Filtered'!F29</f>
        <v>55.98545068</v>
      </c>
      <c r="J29" s="11" t="str">
        <f>'GDP Source - Filtered'!A29</f>
        <v>Korea, Rep.</v>
      </c>
    </row>
    <row r="30" ht="13.5" customHeight="1">
      <c r="A30" s="16">
        <f t="shared" si="1"/>
        <v>29</v>
      </c>
      <c r="B30" s="11" t="str">
        <f>'GDP Source - Filtered'!E30</f>
        <v>Italy</v>
      </c>
      <c r="C30" s="11" t="str">
        <f>'GDP Source - Filtered'!B30</f>
        <v>ITA</v>
      </c>
      <c r="D30" s="13">
        <f>'GDP Source - Filtered'!D30</f>
        <v>34508.12352</v>
      </c>
      <c r="E30" s="17">
        <f t="shared" si="2"/>
        <v>10.44895004</v>
      </c>
      <c r="F30" s="17">
        <f>Parameters!$B$5</f>
        <v>5.593598707</v>
      </c>
      <c r="G30" s="17">
        <f>Parameters!$B$6</f>
        <v>11.66576274</v>
      </c>
      <c r="H30" s="12">
        <f t="shared" si="3"/>
        <v>79.96080651</v>
      </c>
      <c r="I30" s="12">
        <f>'GDP Source - Filtered'!F30</f>
        <v>53.08083904</v>
      </c>
      <c r="J30" s="11" t="str">
        <f>'GDP Source - Filtered'!A30</f>
        <v>Italy</v>
      </c>
    </row>
    <row r="31" ht="13.5" customHeight="1">
      <c r="A31" s="16">
        <f t="shared" si="1"/>
        <v>30</v>
      </c>
      <c r="B31" s="11" t="str">
        <f>'GDP Source - Filtered'!E31</f>
        <v>Malta</v>
      </c>
      <c r="C31" s="11" t="str">
        <f>'GDP Source - Filtered'!B31</f>
        <v>MLT</v>
      </c>
      <c r="D31" s="13">
        <f>'GDP Source - Filtered'!D31</f>
        <v>34501.78927</v>
      </c>
      <c r="E31" s="17">
        <f t="shared" si="2"/>
        <v>10.44876646</v>
      </c>
      <c r="F31" s="17">
        <f>Parameters!$B$5</f>
        <v>5.593598707</v>
      </c>
      <c r="G31" s="17">
        <f>Parameters!$B$6</f>
        <v>11.66576274</v>
      </c>
      <c r="H31" s="12">
        <f t="shared" si="3"/>
        <v>79.95778329</v>
      </c>
      <c r="I31" s="12">
        <f>'GDP Source - Filtered'!F31</f>
        <v>46.71575244</v>
      </c>
      <c r="J31" s="11" t="str">
        <f>'GDP Source - Filtered'!A31</f>
        <v>Malta</v>
      </c>
    </row>
    <row r="32" ht="13.5" customHeight="1">
      <c r="A32" s="16">
        <f t="shared" si="1"/>
        <v>31</v>
      </c>
      <c r="B32" s="11" t="str">
        <f>'GDP Source - Filtered'!E32</f>
        <v>Bahamas</v>
      </c>
      <c r="C32" s="11" t="str">
        <f>'GDP Source - Filtered'!B32</f>
        <v>BHS</v>
      </c>
      <c r="D32" s="13">
        <f>'GDP Source - Filtered'!D32</f>
        <v>33968.20322</v>
      </c>
      <c r="E32" s="17">
        <f t="shared" si="2"/>
        <v>10.43318017</v>
      </c>
      <c r="F32" s="17">
        <f>Parameters!$B$5</f>
        <v>5.593598707</v>
      </c>
      <c r="G32" s="17">
        <f>Parameters!$B$6</f>
        <v>11.66576274</v>
      </c>
      <c r="H32" s="12">
        <f t="shared" si="3"/>
        <v>79.70109888</v>
      </c>
      <c r="I32" s="12">
        <f>'GDP Source - Filtered'!F32</f>
        <v>41.60883555</v>
      </c>
      <c r="J32" s="11" t="str">
        <f>'GDP Source - Filtered'!A32</f>
        <v>Bahamas, The</v>
      </c>
    </row>
    <row r="33" ht="13.5" customHeight="1">
      <c r="A33" s="16">
        <f t="shared" si="1"/>
        <v>32</v>
      </c>
      <c r="B33" s="11" t="str">
        <f>'GDP Source - Filtered'!E33</f>
        <v>Aruba</v>
      </c>
      <c r="C33" s="11" t="str">
        <f>'GDP Source - Filtered'!B33</f>
        <v>ABW</v>
      </c>
      <c r="D33" s="13">
        <f>'GDP Source - Filtered'!D33</f>
        <v>33938.95418</v>
      </c>
      <c r="E33" s="17">
        <f t="shared" si="2"/>
        <v>10.43231872</v>
      </c>
      <c r="F33" s="17">
        <f>Parameters!$B$5</f>
        <v>5.593598707</v>
      </c>
      <c r="G33" s="17">
        <f>Parameters!$B$6</f>
        <v>11.66576274</v>
      </c>
      <c r="H33" s="12">
        <f t="shared" si="3"/>
        <v>79.68691214</v>
      </c>
      <c r="I33" s="12">
        <f>'GDP Source - Filtered'!F33</f>
        <v>35.63613293</v>
      </c>
      <c r="J33" s="11" t="str">
        <f>'GDP Source - Filtered'!A33</f>
        <v>Aruba</v>
      </c>
    </row>
    <row r="34" ht="13.5" customHeight="1">
      <c r="A34" s="16">
        <f t="shared" si="1"/>
        <v>33</v>
      </c>
      <c r="B34" s="11" t="str">
        <f>'GDP Source - Filtered'!E34</f>
        <v>Guyana</v>
      </c>
      <c r="C34" s="11" t="str">
        <f>'GDP Source - Filtered'!B34</f>
        <v>GUY</v>
      </c>
      <c r="D34" s="13">
        <f>'GDP Source - Filtered'!D34</f>
        <v>33034.94887</v>
      </c>
      <c r="E34" s="17">
        <f t="shared" si="2"/>
        <v>10.40532134</v>
      </c>
      <c r="F34" s="17">
        <f>Parameters!$B$5</f>
        <v>5.593598707</v>
      </c>
      <c r="G34" s="17">
        <f>Parameters!$B$6</f>
        <v>11.66576274</v>
      </c>
      <c r="H34" s="12">
        <f t="shared" si="3"/>
        <v>79.24230314</v>
      </c>
      <c r="I34" s="12">
        <f>'GDP Source - Filtered'!F34</f>
        <v>100</v>
      </c>
      <c r="J34" s="11" t="str">
        <f>'GDP Source - Filtered'!A34</f>
        <v>Guyana</v>
      </c>
    </row>
    <row r="35" ht="13.5" customHeight="1">
      <c r="A35" s="16">
        <f t="shared" si="1"/>
        <v>34</v>
      </c>
      <c r="B35" s="11" t="str">
        <f>'GDP Source - Filtered'!E35</f>
        <v>Cyprus</v>
      </c>
      <c r="C35" s="11" t="str">
        <f>'GDP Source - Filtered'!B35</f>
        <v>CYP</v>
      </c>
      <c r="D35" s="13">
        <f>'GDP Source - Filtered'!D35</f>
        <v>32757.54102</v>
      </c>
      <c r="E35" s="17">
        <f t="shared" si="2"/>
        <v>10.39688847</v>
      </c>
      <c r="F35" s="17">
        <f>Parameters!$B$5</f>
        <v>5.593598707</v>
      </c>
      <c r="G35" s="17">
        <f>Parameters!$B$6</f>
        <v>11.66576274</v>
      </c>
      <c r="H35" s="12">
        <f t="shared" si="3"/>
        <v>79.10342577</v>
      </c>
      <c r="I35" s="12">
        <f>'GDP Source - Filtered'!F35</f>
        <v>43.12141842</v>
      </c>
      <c r="J35" s="11" t="str">
        <f>'GDP Source - Filtered'!A35</f>
        <v>Cyprus</v>
      </c>
    </row>
    <row r="36" ht="13.5" customHeight="1">
      <c r="A36" s="16">
        <f t="shared" si="1"/>
        <v>35</v>
      </c>
      <c r="B36" s="11" t="str">
        <f>'GDP Source - Filtered'!E36</f>
        <v>Brunei Darussalam</v>
      </c>
      <c r="C36" s="11" t="str">
        <f>'GDP Source - Filtered'!B36</f>
        <v>BRN</v>
      </c>
      <c r="D36" s="13">
        <f>'GDP Source - Filtered'!D36</f>
        <v>29563.86828</v>
      </c>
      <c r="E36" s="17">
        <f t="shared" si="2"/>
        <v>10.29430823</v>
      </c>
      <c r="F36" s="17">
        <f>Parameters!$B$5</f>
        <v>5.593598707</v>
      </c>
      <c r="G36" s="17">
        <f>Parameters!$B$6</f>
        <v>11.66576274</v>
      </c>
      <c r="H36" s="12">
        <f t="shared" si="3"/>
        <v>77.41407341</v>
      </c>
      <c r="I36" s="12">
        <f>'GDP Source - Filtered'!F36</f>
        <v>100</v>
      </c>
      <c r="J36" s="11" t="str">
        <f>'GDP Source - Filtered'!A36</f>
        <v>Brunei Darussalam</v>
      </c>
    </row>
    <row r="37" ht="13.5" customHeight="1">
      <c r="A37" s="16">
        <f t="shared" si="1"/>
        <v>36</v>
      </c>
      <c r="B37" s="11" t="str">
        <f>'GDP Source - Filtered'!E37</f>
        <v>Spain</v>
      </c>
      <c r="C37" s="11" t="str">
        <f>'GDP Source - Filtered'!B37</f>
        <v>ESP</v>
      </c>
      <c r="D37" s="13">
        <f>'GDP Source - Filtered'!D37</f>
        <v>29245.21925</v>
      </c>
      <c r="E37" s="17">
        <f t="shared" si="2"/>
        <v>10.28347139</v>
      </c>
      <c r="F37" s="17">
        <f>Parameters!$B$5</f>
        <v>5.593598707</v>
      </c>
      <c r="G37" s="17">
        <f>Parameters!$B$6</f>
        <v>11.66576274</v>
      </c>
      <c r="H37" s="12">
        <f t="shared" si="3"/>
        <v>77.23560601</v>
      </c>
      <c r="I37" s="12">
        <f>'GDP Source - Filtered'!F37</f>
        <v>56.27381862</v>
      </c>
      <c r="J37" s="11" t="str">
        <f>'GDP Source - Filtered'!A37</f>
        <v>Spain</v>
      </c>
    </row>
    <row r="38" ht="13.5" customHeight="1">
      <c r="A38" s="16">
        <f t="shared" si="1"/>
        <v>37</v>
      </c>
      <c r="B38" s="11" t="str">
        <f>'GDP Source - Filtered'!E38</f>
        <v>Slovenia</v>
      </c>
      <c r="C38" s="11" t="str">
        <f>'GDP Source - Filtered'!B38</f>
        <v>SVN</v>
      </c>
      <c r="D38" s="13">
        <f>'GDP Source - Filtered'!D38</f>
        <v>26134.6272</v>
      </c>
      <c r="E38" s="17">
        <f t="shared" si="2"/>
        <v>10.17101643</v>
      </c>
      <c r="F38" s="17">
        <f>Parameters!$B$5</f>
        <v>5.593598707</v>
      </c>
      <c r="G38" s="17">
        <f>Parameters!$B$6</f>
        <v>11.66576274</v>
      </c>
      <c r="H38" s="12">
        <f t="shared" si="3"/>
        <v>75.38363087</v>
      </c>
      <c r="I38" s="12">
        <f>'GDP Source - Filtered'!F38</f>
        <v>71.06019783</v>
      </c>
      <c r="J38" s="11" t="str">
        <f>'GDP Source - Filtered'!A38</f>
        <v>Slovenia</v>
      </c>
    </row>
    <row r="39" ht="13.5" customHeight="1">
      <c r="A39" s="16">
        <f t="shared" si="1"/>
        <v>38</v>
      </c>
      <c r="B39" s="11" t="str">
        <f>'GDP Source - Filtered'!E39</f>
        <v>Bahrain</v>
      </c>
      <c r="C39" s="11" t="str">
        <f>'GDP Source - Filtered'!B39</f>
        <v>BHR</v>
      </c>
      <c r="D39" s="13">
        <f>'GDP Source - Filtered'!D39</f>
        <v>25886.23932</v>
      </c>
      <c r="E39" s="17">
        <f t="shared" si="2"/>
        <v>10.16146681</v>
      </c>
      <c r="F39" s="17">
        <f>Parameters!$B$5</f>
        <v>5.593598707</v>
      </c>
      <c r="G39" s="17">
        <f>Parameters!$B$6</f>
        <v>11.66576274</v>
      </c>
      <c r="H39" s="12">
        <f t="shared" si="3"/>
        <v>75.22636205</v>
      </c>
      <c r="I39" s="12">
        <f>'GDP Source - Filtered'!F39</f>
        <v>100</v>
      </c>
      <c r="J39" s="11" t="str">
        <f>'GDP Source - Filtered'!A39</f>
        <v>Bahrain</v>
      </c>
    </row>
    <row r="40" ht="13.5" customHeight="1">
      <c r="A40" s="16">
        <f t="shared" si="1"/>
        <v>39</v>
      </c>
      <c r="B40" s="11" t="str">
        <f>'GDP Source - Filtered'!E40</f>
        <v>Saudi Arabia</v>
      </c>
      <c r="C40" s="11" t="str">
        <f>'GDP Source - Filtered'!B40</f>
        <v>SAU</v>
      </c>
      <c r="D40" s="13">
        <f>'GDP Source - Filtered'!D40</f>
        <v>25123.01221</v>
      </c>
      <c r="E40" s="17">
        <f t="shared" si="2"/>
        <v>10.13153953</v>
      </c>
      <c r="F40" s="17">
        <f>Parameters!$B$5</f>
        <v>5.593598707</v>
      </c>
      <c r="G40" s="17">
        <f>Parameters!$B$6</f>
        <v>11.66576274</v>
      </c>
      <c r="H40" s="12">
        <f t="shared" si="3"/>
        <v>74.73350185</v>
      </c>
      <c r="I40" s="12">
        <f>'GDP Source - Filtered'!F40</f>
        <v>100</v>
      </c>
      <c r="J40" s="11" t="str">
        <f>'GDP Source - Filtered'!A40</f>
        <v>Saudi Arabia</v>
      </c>
    </row>
    <row r="41" ht="13.5" customHeight="1">
      <c r="A41" s="16">
        <f t="shared" si="1"/>
        <v>40</v>
      </c>
      <c r="B41" s="11" t="str">
        <f>'GDP Source - Filtered'!E41</f>
        <v>Kuwait</v>
      </c>
      <c r="C41" s="11" t="str">
        <f>'GDP Source - Filtered'!B41</f>
        <v>KWT</v>
      </c>
      <c r="D41" s="13">
        <f>'GDP Source - Filtered'!D41</f>
        <v>24140.3258</v>
      </c>
      <c r="E41" s="17">
        <f t="shared" si="2"/>
        <v>10.09163899</v>
      </c>
      <c r="F41" s="17">
        <f>Parameters!$B$5</f>
        <v>5.593598707</v>
      </c>
      <c r="G41" s="17">
        <f>Parameters!$B$6</f>
        <v>11.66576274</v>
      </c>
      <c r="H41" s="12">
        <f t="shared" si="3"/>
        <v>74.07639616</v>
      </c>
      <c r="I41" s="12">
        <f>'GDP Source - Filtered'!F41</f>
        <v>100</v>
      </c>
      <c r="J41" s="11" t="str">
        <f>'GDP Source - Filtered'!A41</f>
        <v>Kuwait</v>
      </c>
    </row>
    <row r="42" ht="13.5" customHeight="1">
      <c r="A42" s="16">
        <f t="shared" si="1"/>
        <v>41</v>
      </c>
      <c r="B42" s="11" t="str">
        <f>'GDP Source - Filtered'!E42</f>
        <v>Portugal</v>
      </c>
      <c r="C42" s="11" t="str">
        <f>'GDP Source - Filtered'!B42</f>
        <v>PRT</v>
      </c>
      <c r="D42" s="13">
        <f>'GDP Source - Filtered'!D42</f>
        <v>22663.99313</v>
      </c>
      <c r="E42" s="17">
        <f t="shared" si="2"/>
        <v>10.02853274</v>
      </c>
      <c r="F42" s="17">
        <f>Parameters!$B$5</f>
        <v>5.593598707</v>
      </c>
      <c r="G42" s="17">
        <f>Parameters!$B$6</f>
        <v>11.66576274</v>
      </c>
      <c r="H42" s="12">
        <f t="shared" si="3"/>
        <v>73.03712495</v>
      </c>
      <c r="I42" s="12">
        <f>'GDP Source - Filtered'!F42</f>
        <v>56.01662459</v>
      </c>
      <c r="J42" s="11" t="str">
        <f>'GDP Source - Filtered'!A42</f>
        <v>Portugal</v>
      </c>
    </row>
    <row r="43" ht="13.5" customHeight="1">
      <c r="A43" s="16">
        <f t="shared" si="1"/>
        <v>42</v>
      </c>
      <c r="B43" s="11" t="str">
        <f>'GDP Source - Filtered'!E43</f>
        <v>Barbados</v>
      </c>
      <c r="C43" s="11" t="str">
        <f>'GDP Source - Filtered'!B43</f>
        <v>BRB</v>
      </c>
      <c r="D43" s="13">
        <f>'GDP Source - Filtered'!D43</f>
        <v>22421.53336</v>
      </c>
      <c r="E43" s="17">
        <f t="shared" si="2"/>
        <v>10.01777709</v>
      </c>
      <c r="F43" s="17">
        <f>Parameters!$B$5</f>
        <v>5.593598707</v>
      </c>
      <c r="G43" s="17">
        <f>Parameters!$B$6</f>
        <v>11.66576274</v>
      </c>
      <c r="H43" s="12">
        <f t="shared" si="3"/>
        <v>72.8599945</v>
      </c>
      <c r="I43" s="12">
        <f>'GDP Source - Filtered'!F43</f>
        <v>49.78389155</v>
      </c>
      <c r="J43" s="11" t="str">
        <f>'GDP Source - Filtered'!A43</f>
        <v>Barbados</v>
      </c>
    </row>
    <row r="44" ht="13.5" customHeight="1">
      <c r="A44" s="16">
        <f t="shared" si="1"/>
        <v>43</v>
      </c>
      <c r="B44" s="11" t="str">
        <f>'GDP Source - Filtered'!E44</f>
        <v>Saint Kitts and Nevis</v>
      </c>
      <c r="C44" s="11" t="str">
        <f>'GDP Source - Filtered'!B44</f>
        <v>KNA</v>
      </c>
      <c r="D44" s="13">
        <f>'GDP Source - Filtered'!D44</f>
        <v>21692.24064</v>
      </c>
      <c r="E44" s="17">
        <f t="shared" si="2"/>
        <v>9.984709901</v>
      </c>
      <c r="F44" s="17">
        <f>Parameters!$B$5</f>
        <v>5.593598707</v>
      </c>
      <c r="G44" s="17">
        <f>Parameters!$B$6</f>
        <v>11.66576274</v>
      </c>
      <c r="H44" s="12">
        <f t="shared" si="3"/>
        <v>72.31542447</v>
      </c>
      <c r="I44" s="12">
        <f>'GDP Source - Filtered'!F44</f>
        <v>43.50537579</v>
      </c>
      <c r="J44" s="11" t="str">
        <f>'GDP Source - Filtered'!A44</f>
        <v>St. Kitts and Nevis</v>
      </c>
    </row>
    <row r="45" ht="13.5" customHeight="1">
      <c r="A45" s="16">
        <f t="shared" si="1"/>
        <v>44</v>
      </c>
      <c r="B45" s="11" t="str">
        <f>'GDP Source - Filtered'!E45</f>
        <v>Greece</v>
      </c>
      <c r="C45" s="11" t="str">
        <f>'GDP Source - Filtered'!B45</f>
        <v>GRC</v>
      </c>
      <c r="D45" s="13">
        <f>'GDP Source - Filtered'!D45</f>
        <v>21494.68561</v>
      </c>
      <c r="E45" s="17">
        <f t="shared" si="2"/>
        <v>9.975561003</v>
      </c>
      <c r="F45" s="17">
        <f>Parameters!$B$5</f>
        <v>5.593598707</v>
      </c>
      <c r="G45" s="17">
        <f>Parameters!$B$6</f>
        <v>11.66576274</v>
      </c>
      <c r="H45" s="12">
        <f t="shared" si="3"/>
        <v>72.16475498</v>
      </c>
      <c r="I45" s="12">
        <f>'GDP Source - Filtered'!F45</f>
        <v>48.96770143</v>
      </c>
      <c r="J45" s="11" t="str">
        <f>'GDP Source - Filtered'!A45</f>
        <v>Greece</v>
      </c>
    </row>
    <row r="46" ht="13.5" customHeight="1">
      <c r="A46" s="16">
        <f t="shared" si="1"/>
        <v>45</v>
      </c>
      <c r="B46" s="11" t="str">
        <f>'GDP Source - Filtered'!E46</f>
        <v>French Polynesia</v>
      </c>
      <c r="C46" s="11" t="str">
        <f>'GDP Source - Filtered'!B46</f>
        <v>PYF</v>
      </c>
      <c r="D46" s="13">
        <f>'GDP Source - Filtered'!D46</f>
        <v>20846.65141</v>
      </c>
      <c r="E46" s="17">
        <f t="shared" si="2"/>
        <v>9.94494861</v>
      </c>
      <c r="F46" s="17">
        <f>Parameters!$B$5</f>
        <v>5.593598707</v>
      </c>
      <c r="G46" s="17">
        <f>Parameters!$B$6</f>
        <v>11.66576274</v>
      </c>
      <c r="H46" s="12">
        <f t="shared" si="3"/>
        <v>71.66061194</v>
      </c>
      <c r="I46" s="12">
        <f>'GDP Source - Filtered'!F46</f>
        <v>48.0871593</v>
      </c>
      <c r="J46" s="11" t="str">
        <f>'GDP Source - Filtered'!A46</f>
        <v>French Polynesia</v>
      </c>
    </row>
    <row r="47" ht="13.5" customHeight="1">
      <c r="A47" s="16">
        <f t="shared" si="1"/>
        <v>46</v>
      </c>
      <c r="B47" s="11" t="str">
        <f>'GDP Source - Filtered'!E47</f>
        <v>Czechia</v>
      </c>
      <c r="C47" s="11" t="str">
        <f>'GDP Source - Filtered'!B47</f>
        <v>CZE</v>
      </c>
      <c r="D47" s="13">
        <f>'GDP Source - Filtered'!D47</f>
        <v>20449.11359</v>
      </c>
      <c r="E47" s="17">
        <f t="shared" si="2"/>
        <v>9.925694815</v>
      </c>
      <c r="F47" s="17">
        <f>Parameters!$B$5</f>
        <v>5.593598707</v>
      </c>
      <c r="G47" s="17">
        <f>Parameters!$B$6</f>
        <v>11.66576274</v>
      </c>
      <c r="H47" s="12">
        <f t="shared" si="3"/>
        <v>71.34352902</v>
      </c>
      <c r="I47" s="12">
        <f>'GDP Source - Filtered'!F47</f>
        <v>74.33257801</v>
      </c>
      <c r="J47" s="11" t="str">
        <f>'GDP Source - Filtered'!A47</f>
        <v>Czechia</v>
      </c>
    </row>
    <row r="48" ht="13.5" customHeight="1">
      <c r="A48" s="16">
        <f t="shared" si="1"/>
        <v>47</v>
      </c>
      <c r="B48" s="11" t="str">
        <f>'GDP Source - Filtered'!E48</f>
        <v>Estonia</v>
      </c>
      <c r="C48" s="11" t="str">
        <f>'GDP Source - Filtered'!B48</f>
        <v>EST</v>
      </c>
      <c r="D48" s="13">
        <f>'GDP Source - Filtered'!D48</f>
        <v>20078.13976</v>
      </c>
      <c r="E48" s="17">
        <f t="shared" si="2"/>
        <v>9.907386928</v>
      </c>
      <c r="F48" s="17">
        <f>Parameters!$B$5</f>
        <v>5.593598707</v>
      </c>
      <c r="G48" s="17">
        <f>Parameters!$B$6</f>
        <v>11.66576274</v>
      </c>
      <c r="H48" s="12">
        <f t="shared" si="3"/>
        <v>71.04202387</v>
      </c>
      <c r="I48" s="12">
        <f>'GDP Source - Filtered'!F48</f>
        <v>57.90422422</v>
      </c>
      <c r="J48" s="11" t="str">
        <f>'GDP Source - Filtered'!A48</f>
        <v>Estonia</v>
      </c>
    </row>
    <row r="49" ht="13.5" customHeight="1">
      <c r="A49" s="16">
        <f t="shared" si="1"/>
        <v>48</v>
      </c>
      <c r="B49" s="11" t="str">
        <f>'GDP Source - Filtered'!E49</f>
        <v>Slovakia</v>
      </c>
      <c r="C49" s="11" t="str">
        <f>'GDP Source - Filtered'!B49</f>
        <v>SVK</v>
      </c>
      <c r="D49" s="13">
        <f>'GDP Source - Filtered'!D49</f>
        <v>19776.17581</v>
      </c>
      <c r="E49" s="17">
        <f t="shared" si="2"/>
        <v>9.89223325</v>
      </c>
      <c r="F49" s="17">
        <f>Parameters!$B$5</f>
        <v>5.593598707</v>
      </c>
      <c r="G49" s="17">
        <f>Parameters!$B$6</f>
        <v>11.66576274</v>
      </c>
      <c r="H49" s="12">
        <f t="shared" si="3"/>
        <v>70.79246411</v>
      </c>
      <c r="I49" s="12">
        <f>'GDP Source - Filtered'!F49</f>
        <v>64.72125726</v>
      </c>
      <c r="J49" s="11" t="str">
        <f>'GDP Source - Filtered'!A49</f>
        <v>Slovak Republic</v>
      </c>
    </row>
    <row r="50" ht="13.5" customHeight="1">
      <c r="A50" s="16">
        <f t="shared" si="1"/>
        <v>49</v>
      </c>
      <c r="B50" s="11" t="str">
        <f>'GDP Source - Filtered'!E50</f>
        <v>Lithuania</v>
      </c>
      <c r="C50" s="11" t="str">
        <f>'GDP Source - Filtered'!B50</f>
        <v>LTU</v>
      </c>
      <c r="D50" s="13">
        <f>'GDP Source - Filtered'!D50</f>
        <v>19205.41523</v>
      </c>
      <c r="E50" s="17">
        <f t="shared" si="2"/>
        <v>9.862947561</v>
      </c>
      <c r="F50" s="17">
        <f>Parameters!$B$5</f>
        <v>5.593598707</v>
      </c>
      <c r="G50" s="17">
        <f>Parameters!$B$6</f>
        <v>11.66576274</v>
      </c>
      <c r="H50" s="12">
        <f t="shared" si="3"/>
        <v>70.31017001</v>
      </c>
      <c r="I50" s="12">
        <f>'GDP Source - Filtered'!F50</f>
        <v>53.31962192</v>
      </c>
      <c r="J50" s="11" t="str">
        <f>'GDP Source - Filtered'!A50</f>
        <v>Lithuania</v>
      </c>
    </row>
    <row r="51" ht="13.5" customHeight="1">
      <c r="A51" s="16">
        <f t="shared" si="1"/>
        <v>50</v>
      </c>
      <c r="B51" s="11" t="str">
        <f>'GDP Source - Filtered'!E51</f>
        <v>Uruguay</v>
      </c>
      <c r="C51" s="11" t="str">
        <f>'GDP Source - Filtered'!B51</f>
        <v>URY</v>
      </c>
      <c r="D51" s="13">
        <f>'GDP Source - Filtered'!D51</f>
        <v>19024.12043</v>
      </c>
      <c r="E51" s="17">
        <f t="shared" si="2"/>
        <v>9.853462949</v>
      </c>
      <c r="F51" s="17">
        <f>Parameters!$B$5</f>
        <v>5.593598707</v>
      </c>
      <c r="G51" s="17">
        <f>Parameters!$B$6</f>
        <v>11.66576274</v>
      </c>
      <c r="H51" s="12">
        <f t="shared" si="3"/>
        <v>70.15397179</v>
      </c>
      <c r="I51" s="12">
        <f>'GDP Source - Filtered'!F51</f>
        <v>64.45712956</v>
      </c>
      <c r="J51" s="11" t="str">
        <f>'GDP Source - Filtered'!A51</f>
        <v>Uruguay</v>
      </c>
    </row>
    <row r="52" ht="13.5" customHeight="1">
      <c r="A52" s="16">
        <f t="shared" si="1"/>
        <v>51</v>
      </c>
      <c r="B52" s="11" t="str">
        <f>'GDP Source - Filtered'!E52</f>
        <v>Antigua and Barbuda</v>
      </c>
      <c r="C52" s="11" t="str">
        <f>'GDP Source - Filtered'!B52</f>
        <v>ATG</v>
      </c>
      <c r="D52" s="13">
        <f>'GDP Source - Filtered'!D52</f>
        <v>18304.58368</v>
      </c>
      <c r="E52" s="17">
        <f t="shared" si="2"/>
        <v>9.814906782</v>
      </c>
      <c r="F52" s="17">
        <f>Parameters!$B$5</f>
        <v>5.593598707</v>
      </c>
      <c r="G52" s="17">
        <f>Parameters!$B$6</f>
        <v>11.66576274</v>
      </c>
      <c r="H52" s="12">
        <f t="shared" si="3"/>
        <v>69.51900595</v>
      </c>
      <c r="I52" s="12">
        <f>'GDP Source - Filtered'!F52</f>
        <v>40.17340798</v>
      </c>
      <c r="J52" s="11" t="str">
        <f>'GDP Source - Filtered'!A52</f>
        <v>Antigua and Barbuda</v>
      </c>
    </row>
    <row r="53" ht="13.5" customHeight="1">
      <c r="A53" s="16">
        <f t="shared" si="1"/>
        <v>52</v>
      </c>
      <c r="B53" s="11" t="str">
        <f>'GDP Source - Filtered'!E53</f>
        <v>Poland</v>
      </c>
      <c r="C53" s="11" t="str">
        <f>'GDP Source - Filtered'!B53</f>
        <v>POL</v>
      </c>
      <c r="D53" s="13">
        <f>'GDP Source - Filtered'!D53</f>
        <v>18000.50346</v>
      </c>
      <c r="E53" s="17">
        <f t="shared" si="2"/>
        <v>9.798155006</v>
      </c>
      <c r="F53" s="17">
        <f>Parameters!$B$5</f>
        <v>5.593598707</v>
      </c>
      <c r="G53" s="17">
        <f>Parameters!$B$6</f>
        <v>11.66576274</v>
      </c>
      <c r="H53" s="12">
        <f t="shared" si="3"/>
        <v>69.24312778</v>
      </c>
      <c r="I53" s="12">
        <f>'GDP Source - Filtered'!F53</f>
        <v>71.23118005</v>
      </c>
      <c r="J53" s="11" t="str">
        <f>'GDP Source - Filtered'!A53</f>
        <v>Poland</v>
      </c>
    </row>
    <row r="54" ht="13.5" customHeight="1">
      <c r="A54" s="16">
        <f t="shared" si="1"/>
        <v>53</v>
      </c>
      <c r="B54" s="11" t="str">
        <f>'GDP Source - Filtered'!E54</f>
        <v>Croatia</v>
      </c>
      <c r="C54" s="11" t="str">
        <f>'GDP Source - Filtered'!B54</f>
        <v>HRV</v>
      </c>
      <c r="D54" s="13">
        <f>'GDP Source - Filtered'!D54</f>
        <v>17854.32626</v>
      </c>
      <c r="E54" s="17">
        <f t="shared" si="2"/>
        <v>9.790001125</v>
      </c>
      <c r="F54" s="17">
        <f>Parameters!$B$5</f>
        <v>5.593598707</v>
      </c>
      <c r="G54" s="17">
        <f>Parameters!$B$6</f>
        <v>11.66576274</v>
      </c>
      <c r="H54" s="12">
        <f t="shared" si="3"/>
        <v>69.10884482</v>
      </c>
      <c r="I54" s="12">
        <f>'GDP Source - Filtered'!F54</f>
        <v>60.75193597</v>
      </c>
      <c r="J54" s="11" t="str">
        <f>'GDP Source - Filtered'!A54</f>
        <v>Croatia</v>
      </c>
    </row>
    <row r="55" ht="13.5" customHeight="1">
      <c r="A55" s="16">
        <f t="shared" si="1"/>
        <v>54</v>
      </c>
      <c r="B55" s="11" t="str">
        <f>'GDP Source - Filtered'!E55</f>
        <v>Oman</v>
      </c>
      <c r="C55" s="11" t="str">
        <f>'GDP Source - Filtered'!B55</f>
        <v>OMN</v>
      </c>
      <c r="D55" s="13">
        <f>'GDP Source - Filtered'!D55</f>
        <v>17347.29113</v>
      </c>
      <c r="E55" s="17">
        <f t="shared" si="2"/>
        <v>9.761191642</v>
      </c>
      <c r="F55" s="17">
        <f>Parameters!$B$5</f>
        <v>5.593598707</v>
      </c>
      <c r="G55" s="17">
        <f>Parameters!$B$6</f>
        <v>11.66576274</v>
      </c>
      <c r="H55" s="12">
        <f t="shared" si="3"/>
        <v>68.63439316</v>
      </c>
      <c r="I55" s="12">
        <f>'GDP Source - Filtered'!F55</f>
        <v>100</v>
      </c>
      <c r="J55" s="11" t="str">
        <f>'GDP Source - Filtered'!A55</f>
        <v>Oman</v>
      </c>
    </row>
    <row r="56" ht="13.5" customHeight="1">
      <c r="A56" s="16">
        <f t="shared" si="1"/>
        <v>55</v>
      </c>
      <c r="B56" s="11" t="str">
        <f>'GDP Source - Filtered'!E56</f>
        <v>Panama</v>
      </c>
      <c r="C56" s="11" t="str">
        <f>'GDP Source - Filtered'!B56</f>
        <v>PAN</v>
      </c>
      <c r="D56" s="13">
        <f>'GDP Source - Filtered'!D56</f>
        <v>17122.71688</v>
      </c>
      <c r="E56" s="17">
        <f t="shared" si="2"/>
        <v>9.748161333</v>
      </c>
      <c r="F56" s="17">
        <f>Parameters!$B$5</f>
        <v>5.593598707</v>
      </c>
      <c r="G56" s="17">
        <f>Parameters!$B$6</f>
        <v>11.66576274</v>
      </c>
      <c r="H56" s="12">
        <f t="shared" si="3"/>
        <v>68.41980231</v>
      </c>
      <c r="I56" s="12">
        <f>'GDP Source - Filtered'!F56</f>
        <v>45.61788351</v>
      </c>
      <c r="J56" s="11" t="str">
        <f>'GDP Source - Filtered'!A56</f>
        <v>Panama</v>
      </c>
    </row>
    <row r="57" ht="13.5" customHeight="1">
      <c r="A57" s="16">
        <f t="shared" si="1"/>
        <v>56</v>
      </c>
      <c r="B57" s="11" t="str">
        <f>'GDP Source - Filtered'!E57</f>
        <v>Seychelles</v>
      </c>
      <c r="C57" s="11" t="str">
        <f>'GDP Source - Filtered'!B57</f>
        <v>SYC</v>
      </c>
      <c r="D57" s="13">
        <f>'GDP Source - Filtered'!D57</f>
        <v>16612.63749</v>
      </c>
      <c r="E57" s="17">
        <f t="shared" si="2"/>
        <v>9.717918979</v>
      </c>
      <c r="F57" s="17">
        <f>Parameters!$B$5</f>
        <v>5.593598707</v>
      </c>
      <c r="G57" s="17">
        <f>Parameters!$B$6</f>
        <v>11.66576274</v>
      </c>
      <c r="H57" s="12">
        <f t="shared" si="3"/>
        <v>67.92175328</v>
      </c>
      <c r="I57" s="12">
        <f>'GDP Source - Filtered'!F57</f>
        <v>34.5571867</v>
      </c>
      <c r="J57" s="11" t="str">
        <f>'GDP Source - Filtered'!A57</f>
        <v>Seychelles</v>
      </c>
    </row>
    <row r="58" ht="13.5" customHeight="1">
      <c r="A58" s="16">
        <f t="shared" si="1"/>
        <v>57</v>
      </c>
      <c r="B58" s="11" t="str">
        <f>'GDP Source - Filtered'!E58</f>
        <v>Hungary</v>
      </c>
      <c r="C58" s="11" t="str">
        <f>'GDP Source - Filtered'!B58</f>
        <v>HUN</v>
      </c>
      <c r="D58" s="13">
        <f>'GDP Source - Filtered'!D58</f>
        <v>16543.10491</v>
      </c>
      <c r="E58" s="17">
        <f t="shared" si="2"/>
        <v>9.713724672</v>
      </c>
      <c r="F58" s="17">
        <f>Parameters!$B$5</f>
        <v>5.593598707</v>
      </c>
      <c r="G58" s="17">
        <f>Parameters!$B$6</f>
        <v>11.66576274</v>
      </c>
      <c r="H58" s="12">
        <f t="shared" si="3"/>
        <v>67.85267894</v>
      </c>
      <c r="I58" s="12">
        <f>'GDP Source - Filtered'!F58</f>
        <v>65.51145879</v>
      </c>
      <c r="J58" s="11" t="str">
        <f>'GDP Source - Filtered'!A58</f>
        <v>Hungary</v>
      </c>
    </row>
    <row r="59" ht="13.5" customHeight="1">
      <c r="A59" s="16">
        <f t="shared" si="1"/>
        <v>58</v>
      </c>
      <c r="B59" s="11" t="str">
        <f>'GDP Source - Filtered'!E59</f>
        <v>Latvia</v>
      </c>
      <c r="C59" s="11" t="str">
        <f>'GDP Source - Filtered'!B59</f>
        <v>LVA</v>
      </c>
      <c r="D59" s="13">
        <f>'GDP Source - Filtered'!D59</f>
        <v>16376.25652</v>
      </c>
      <c r="E59" s="17">
        <f t="shared" si="2"/>
        <v>9.703587792</v>
      </c>
      <c r="F59" s="17">
        <f>Parameters!$B$5</f>
        <v>5.593598707</v>
      </c>
      <c r="G59" s="17">
        <f>Parameters!$B$6</f>
        <v>11.66576274</v>
      </c>
      <c r="H59" s="12">
        <f t="shared" si="3"/>
        <v>67.68573877</v>
      </c>
      <c r="I59" s="12">
        <f>'GDP Source - Filtered'!F59</f>
        <v>55.26177992</v>
      </c>
      <c r="J59" s="11" t="str">
        <f>'GDP Source - Filtered'!A59</f>
        <v>Latvia</v>
      </c>
    </row>
    <row r="60" ht="13.5" customHeight="1">
      <c r="A60" s="16">
        <f t="shared" si="1"/>
        <v>59</v>
      </c>
      <c r="B60" s="11" t="str">
        <f>'GDP Source - Filtered'!E60</f>
        <v>Trinidad and Tobago</v>
      </c>
      <c r="C60" s="11" t="str">
        <f>'GDP Source - Filtered'!B60</f>
        <v>TTO</v>
      </c>
      <c r="D60" s="13">
        <f>'GDP Source - Filtered'!D60</f>
        <v>16312.48496</v>
      </c>
      <c r="E60" s="17">
        <f t="shared" si="2"/>
        <v>9.699686042</v>
      </c>
      <c r="F60" s="17">
        <f>Parameters!$B$5</f>
        <v>5.593598707</v>
      </c>
      <c r="G60" s="17">
        <f>Parameters!$B$6</f>
        <v>11.66576274</v>
      </c>
      <c r="H60" s="12">
        <f t="shared" si="3"/>
        <v>67.62148245</v>
      </c>
      <c r="I60" s="12">
        <f>'GDP Source - Filtered'!F60</f>
        <v>100</v>
      </c>
      <c r="J60" s="11" t="str">
        <f>'GDP Source - Filtered'!A60</f>
        <v>Trinidad and Tobago</v>
      </c>
    </row>
    <row r="61" ht="13.5" customHeight="1">
      <c r="A61" s="16">
        <f t="shared" si="1"/>
        <v>60</v>
      </c>
      <c r="B61" s="11" t="str">
        <f>'GDP Source - Filtered'!E61</f>
        <v>TÃ¼rkiye</v>
      </c>
      <c r="C61" s="11" t="str">
        <f>'GDP Source - Filtered'!B61</f>
        <v>TUR</v>
      </c>
      <c r="D61" s="13">
        <f>'GDP Source - Filtered'!D61</f>
        <v>15395.02789</v>
      </c>
      <c r="E61" s="17">
        <f t="shared" si="2"/>
        <v>9.641799872</v>
      </c>
      <c r="F61" s="17">
        <f>Parameters!$B$5</f>
        <v>5.593598707</v>
      </c>
      <c r="G61" s="17">
        <f>Parameters!$B$6</f>
        <v>11.66576274</v>
      </c>
      <c r="H61" s="12">
        <f t="shared" si="3"/>
        <v>66.66817865</v>
      </c>
      <c r="I61" s="12">
        <f>'GDP Source - Filtered'!F61</f>
        <v>51.79461001</v>
      </c>
      <c r="J61" s="11" t="str">
        <f>'GDP Source - Filtered'!A61</f>
        <v>Turkiye</v>
      </c>
    </row>
    <row r="62" ht="13.5" customHeight="1">
      <c r="A62" s="16">
        <f t="shared" si="1"/>
        <v>61</v>
      </c>
      <c r="B62" s="11" t="str">
        <f>'GDP Source - Filtered'!E62</f>
        <v>Costa Rica</v>
      </c>
      <c r="C62" s="11" t="str">
        <f>'GDP Source - Filtered'!B62</f>
        <v>CRI</v>
      </c>
      <c r="D62" s="13">
        <f>'GDP Source - Filtered'!D62</f>
        <v>15052.91499</v>
      </c>
      <c r="E62" s="17">
        <f t="shared" si="2"/>
        <v>9.619326938</v>
      </c>
      <c r="F62" s="17">
        <f>Parameters!$B$5</f>
        <v>5.593598707</v>
      </c>
      <c r="G62" s="17">
        <f>Parameters!$B$6</f>
        <v>11.66576274</v>
      </c>
      <c r="H62" s="12">
        <f t="shared" si="3"/>
        <v>66.29808105</v>
      </c>
      <c r="I62" s="12">
        <f>'GDP Source - Filtered'!F62</f>
        <v>50.3476849</v>
      </c>
      <c r="J62" s="11" t="str">
        <f>'GDP Source - Filtered'!A62</f>
        <v>Costa Rica</v>
      </c>
    </row>
    <row r="63" ht="13.5" customHeight="1">
      <c r="A63" s="16">
        <f t="shared" si="1"/>
        <v>62</v>
      </c>
      <c r="B63" s="11" t="str">
        <f>'GDP Source - Filtered'!E63</f>
        <v>Chile</v>
      </c>
      <c r="C63" s="11" t="str">
        <f>'GDP Source - Filtered'!B63</f>
        <v>CHL</v>
      </c>
      <c r="D63" s="13">
        <f>'GDP Source - Filtered'!D63</f>
        <v>14616.92879</v>
      </c>
      <c r="E63" s="17">
        <f t="shared" si="2"/>
        <v>9.589935642</v>
      </c>
      <c r="F63" s="17">
        <f>Parameters!$B$5</f>
        <v>5.593598707</v>
      </c>
      <c r="G63" s="17">
        <f>Parameters!$B$6</f>
        <v>11.66576274</v>
      </c>
      <c r="H63" s="12">
        <f t="shared" si="3"/>
        <v>65.81404774</v>
      </c>
      <c r="I63" s="12">
        <f>'GDP Source - Filtered'!F63</f>
        <v>53.90275658</v>
      </c>
      <c r="J63" s="11" t="str">
        <f>'GDP Source - Filtered'!A63</f>
        <v>Chile</v>
      </c>
    </row>
    <row r="64" ht="13.5" customHeight="1">
      <c r="A64" s="16">
        <f t="shared" si="1"/>
        <v>63</v>
      </c>
      <c r="B64" s="11" t="str">
        <f>'GDP Source - Filtered'!E64</f>
        <v>China</v>
      </c>
      <c r="C64" s="11" t="str">
        <f>'GDP Source - Filtered'!B64</f>
        <v>CHN</v>
      </c>
      <c r="D64" s="13">
        <f>'GDP Source - Filtered'!D64</f>
        <v>13119.10761</v>
      </c>
      <c r="E64" s="17">
        <f t="shared" si="2"/>
        <v>9.481825043</v>
      </c>
      <c r="F64" s="17">
        <f>Parameters!$B$5</f>
        <v>5.593598707</v>
      </c>
      <c r="G64" s="17">
        <f>Parameters!$B$6</f>
        <v>11.66576274</v>
      </c>
      <c r="H64" s="12">
        <f t="shared" si="3"/>
        <v>64.03361825</v>
      </c>
      <c r="I64" s="12">
        <f>'GDP Source - Filtered'!F64</f>
        <v>86.7935685</v>
      </c>
      <c r="J64" s="11" t="str">
        <f>'GDP Source - Filtered'!A64</f>
        <v>China</v>
      </c>
    </row>
    <row r="65" ht="13.5" customHeight="1">
      <c r="A65" s="16">
        <f t="shared" si="1"/>
        <v>64</v>
      </c>
      <c r="B65" s="11" t="str">
        <f>'GDP Source - Filtered'!E65</f>
        <v>Argentina</v>
      </c>
      <c r="C65" s="11" t="str">
        <f>'GDP Source - Filtered'!B65</f>
        <v>ARG</v>
      </c>
      <c r="D65" s="13">
        <f>'GDP Source - Filtered'!D65</f>
        <v>12774.35066</v>
      </c>
      <c r="E65" s="17">
        <f t="shared" si="2"/>
        <v>9.455194585</v>
      </c>
      <c r="F65" s="17">
        <f>Parameters!$B$5</f>
        <v>5.593598707</v>
      </c>
      <c r="G65" s="17">
        <f>Parameters!$B$6</f>
        <v>11.66576274</v>
      </c>
      <c r="H65" s="12">
        <f t="shared" si="3"/>
        <v>63.59505207</v>
      </c>
      <c r="I65" s="12">
        <f>'GDP Source - Filtered'!F65</f>
        <v>100</v>
      </c>
      <c r="J65" s="11" t="str">
        <f>'GDP Source - Filtered'!A65</f>
        <v>Argentina</v>
      </c>
    </row>
    <row r="66" ht="13.5" customHeight="1">
      <c r="A66" s="16">
        <f t="shared" si="1"/>
        <v>65</v>
      </c>
      <c r="B66" s="11" t="str">
        <f>'GDP Source - Filtered'!E66</f>
        <v>Romania</v>
      </c>
      <c r="C66" s="11" t="str">
        <f>'GDP Source - Filtered'!B66</f>
        <v>ROU</v>
      </c>
      <c r="D66" s="13">
        <f>'GDP Source - Filtered'!D66</f>
        <v>12459.91121</v>
      </c>
      <c r="E66" s="17">
        <f t="shared" si="2"/>
        <v>9.430271666</v>
      </c>
      <c r="F66" s="17">
        <f>Parameters!$B$5</f>
        <v>5.593598707</v>
      </c>
      <c r="G66" s="17">
        <f>Parameters!$B$6</f>
        <v>11.66576274</v>
      </c>
      <c r="H66" s="12">
        <f t="shared" si="3"/>
        <v>63.18460666</v>
      </c>
      <c r="I66" s="12">
        <f>'GDP Source - Filtered'!F66</f>
        <v>82.30233058</v>
      </c>
      <c r="J66" s="11" t="str">
        <f>'GDP Source - Filtered'!A66</f>
        <v>Romania</v>
      </c>
    </row>
    <row r="67" ht="13.5" customHeight="1">
      <c r="A67" s="16">
        <f t="shared" si="1"/>
        <v>66</v>
      </c>
      <c r="B67" s="11" t="str">
        <f>'GDP Source - Filtered'!E67</f>
        <v>Saint Lucia</v>
      </c>
      <c r="C67" s="11" t="str">
        <f>'GDP Source - Filtered'!B67</f>
        <v>LCA</v>
      </c>
      <c r="D67" s="13">
        <f>'GDP Source - Filtered'!D67</f>
        <v>12190.79709</v>
      </c>
      <c r="E67" s="17">
        <f t="shared" si="2"/>
        <v>9.408436609</v>
      </c>
      <c r="F67" s="17">
        <f>Parameters!$B$5</f>
        <v>5.593598707</v>
      </c>
      <c r="G67" s="17">
        <f>Parameters!$B$6</f>
        <v>11.66576274</v>
      </c>
      <c r="H67" s="12">
        <f t="shared" si="3"/>
        <v>62.82501398</v>
      </c>
      <c r="I67" s="12">
        <f>'GDP Source - Filtered'!F67</f>
        <v>32.59587703</v>
      </c>
      <c r="J67" s="11" t="str">
        <f>'GDP Source - Filtered'!A67</f>
        <v>St. Lucia</v>
      </c>
    </row>
    <row r="68" ht="13.5" customHeight="1">
      <c r="A68" s="16">
        <f t="shared" si="1"/>
        <v>67</v>
      </c>
      <c r="B68" s="11" t="str">
        <f>'GDP Source - Filtered'!E68</f>
        <v>Mauritius</v>
      </c>
      <c r="C68" s="11" t="str">
        <f>'GDP Source - Filtered'!B68</f>
        <v>MUS</v>
      </c>
      <c r="D68" s="13">
        <f>'GDP Source - Filtered'!D68</f>
        <v>11918.80452</v>
      </c>
      <c r="E68" s="17">
        <f t="shared" si="2"/>
        <v>9.385872644</v>
      </c>
      <c r="F68" s="17">
        <f>Parameters!$B$5</f>
        <v>5.593598707</v>
      </c>
      <c r="G68" s="17">
        <f>Parameters!$B$6</f>
        <v>11.66576274</v>
      </c>
      <c r="H68" s="12">
        <f t="shared" si="3"/>
        <v>62.45341721</v>
      </c>
      <c r="I68" s="12">
        <f>'GDP Source - Filtered'!F68</f>
        <v>46.54306857</v>
      </c>
      <c r="J68" s="11" t="str">
        <f>'GDP Source - Filtered'!A68</f>
        <v>Mauritius</v>
      </c>
    </row>
    <row r="69" ht="13.5" customHeight="1">
      <c r="A69" s="16">
        <f t="shared" si="1"/>
        <v>68</v>
      </c>
      <c r="B69" s="11" t="str">
        <f>'GDP Source - Filtered'!E69</f>
        <v>Malaysia</v>
      </c>
      <c r="C69" s="11" t="str">
        <f>'GDP Source - Filtered'!B69</f>
        <v>MYS</v>
      </c>
      <c r="D69" s="13">
        <f>'GDP Source - Filtered'!D69</f>
        <v>11883.79128</v>
      </c>
      <c r="E69" s="17">
        <f t="shared" si="2"/>
        <v>9.382930673</v>
      </c>
      <c r="F69" s="17">
        <f>Parameters!$B$5</f>
        <v>5.593598707</v>
      </c>
      <c r="G69" s="17">
        <f>Parameters!$B$6</f>
        <v>11.66576274</v>
      </c>
      <c r="H69" s="12">
        <f t="shared" si="3"/>
        <v>62.4049671</v>
      </c>
      <c r="I69" s="12">
        <f>'GDP Source - Filtered'!F69</f>
        <v>100</v>
      </c>
      <c r="J69" s="11" t="str">
        <f>'GDP Source - Filtered'!A69</f>
        <v>Malaysia</v>
      </c>
    </row>
    <row r="70" ht="13.5" customHeight="1">
      <c r="A70" s="16">
        <f t="shared" si="1"/>
        <v>69</v>
      </c>
      <c r="B70" s="11" t="str">
        <f>'GDP Source - Filtered'!E70</f>
        <v>Kazakhstan</v>
      </c>
      <c r="C70" s="11" t="str">
        <f>'GDP Source - Filtered'!B70</f>
        <v>KAZ</v>
      </c>
      <c r="D70" s="13">
        <f>'GDP Source - Filtered'!D70</f>
        <v>11872.78426</v>
      </c>
      <c r="E70" s="17">
        <f t="shared" si="2"/>
        <v>9.382004023</v>
      </c>
      <c r="F70" s="17">
        <f>Parameters!$B$5</f>
        <v>5.593598707</v>
      </c>
      <c r="G70" s="17">
        <f>Parameters!$B$6</f>
        <v>11.66576274</v>
      </c>
      <c r="H70" s="12">
        <f t="shared" si="3"/>
        <v>62.38970647</v>
      </c>
      <c r="I70" s="12">
        <f>'GDP Source - Filtered'!F70</f>
        <v>100</v>
      </c>
      <c r="J70" s="11" t="str">
        <f>'GDP Source - Filtered'!A70</f>
        <v>Kazakhstan</v>
      </c>
    </row>
    <row r="71" ht="13.5" customHeight="1">
      <c r="A71" s="16">
        <f t="shared" si="1"/>
        <v>70</v>
      </c>
      <c r="B71" s="11" t="str">
        <f>'GDP Source - Filtered'!E71</f>
        <v>Maldives</v>
      </c>
      <c r="C71" s="11" t="str">
        <f>'GDP Source - Filtered'!B71</f>
        <v>MDV</v>
      </c>
      <c r="D71" s="13">
        <f>'GDP Source - Filtered'!D71</f>
        <v>11798.79137</v>
      </c>
      <c r="E71" s="17">
        <f t="shared" si="2"/>
        <v>9.375752379</v>
      </c>
      <c r="F71" s="17">
        <f>Parameters!$B$5</f>
        <v>5.593598707</v>
      </c>
      <c r="G71" s="17">
        <f>Parameters!$B$6</f>
        <v>11.66576274</v>
      </c>
      <c r="H71" s="12">
        <f t="shared" si="3"/>
        <v>62.28675069</v>
      </c>
      <c r="I71" s="12">
        <f>'GDP Source - Filtered'!F71</f>
        <v>42.62069162</v>
      </c>
      <c r="J71" s="11" t="str">
        <f>'GDP Source - Filtered'!A71</f>
        <v>Maldives</v>
      </c>
    </row>
    <row r="72" ht="13.5" customHeight="1">
      <c r="A72" s="16">
        <f t="shared" si="1"/>
        <v>71</v>
      </c>
      <c r="B72" s="11" t="str">
        <f>'GDP Source - Filtered'!E72</f>
        <v>Russian Federation</v>
      </c>
      <c r="C72" s="11" t="str">
        <f>'GDP Source - Filtered'!B72</f>
        <v>RUS</v>
      </c>
      <c r="D72" s="13">
        <f>'GDP Source - Filtered'!D72</f>
        <v>11092.63379</v>
      </c>
      <c r="E72" s="17">
        <f t="shared" si="2"/>
        <v>9.314036544</v>
      </c>
      <c r="F72" s="17">
        <f>Parameters!$B$5</f>
        <v>5.593598707</v>
      </c>
      <c r="G72" s="17">
        <f>Parameters!$B$6</f>
        <v>11.66576274</v>
      </c>
      <c r="H72" s="12">
        <f t="shared" si="3"/>
        <v>61.27037771</v>
      </c>
      <c r="I72" s="12">
        <f>'GDP Source - Filtered'!F72</f>
        <v>100</v>
      </c>
      <c r="J72" s="11" t="str">
        <f>'GDP Source - Filtered'!A72</f>
        <v>Russian Federation</v>
      </c>
    </row>
    <row r="73" ht="13.5" customHeight="1">
      <c r="A73" s="16">
        <f t="shared" si="1"/>
        <v>72</v>
      </c>
      <c r="B73" s="11" t="str">
        <f>'GDP Source - Filtered'!E73</f>
        <v>Mexico</v>
      </c>
      <c r="C73" s="11" t="str">
        <f>'GDP Source - Filtered'!B73</f>
        <v>MEX</v>
      </c>
      <c r="D73" s="13">
        <f>'GDP Source - Filtered'!D73</f>
        <v>10284.03369</v>
      </c>
      <c r="E73" s="17">
        <f t="shared" si="2"/>
        <v>9.238347844</v>
      </c>
      <c r="F73" s="17">
        <f>Parameters!$B$5</f>
        <v>5.593598707</v>
      </c>
      <c r="G73" s="17">
        <f>Parameters!$B$6</f>
        <v>11.66576274</v>
      </c>
      <c r="H73" s="12">
        <f t="shared" si="3"/>
        <v>60.02389129</v>
      </c>
      <c r="I73" s="12">
        <f>'GDP Source - Filtered'!F73</f>
        <v>81.87753891</v>
      </c>
      <c r="J73" s="11" t="str">
        <f>'GDP Source - Filtered'!A73</f>
        <v>Mexico</v>
      </c>
    </row>
    <row r="74" ht="13.5" customHeight="1">
      <c r="A74" s="16">
        <f t="shared" si="1"/>
        <v>73</v>
      </c>
      <c r="B74" s="11" t="str">
        <f>'GDP Source - Filtered'!E74</f>
        <v>Bulgaria</v>
      </c>
      <c r="C74" s="11" t="str">
        <f>'GDP Source - Filtered'!B74</f>
        <v>BGR</v>
      </c>
      <c r="D74" s="13">
        <f>'GDP Source - Filtered'!D74</f>
        <v>10127.41526</v>
      </c>
      <c r="E74" s="17">
        <f t="shared" si="2"/>
        <v>9.223001408</v>
      </c>
      <c r="F74" s="17">
        <f>Parameters!$B$5</f>
        <v>5.593598707</v>
      </c>
      <c r="G74" s="17">
        <f>Parameters!$B$6</f>
        <v>11.66576274</v>
      </c>
      <c r="H74" s="12">
        <f t="shared" si="3"/>
        <v>59.77115706</v>
      </c>
      <c r="I74" s="12">
        <f>'GDP Source - Filtered'!F74</f>
        <v>72.99096383</v>
      </c>
      <c r="J74" s="11" t="str">
        <f>'GDP Source - Filtered'!A74</f>
        <v>Bulgaria</v>
      </c>
    </row>
    <row r="75" ht="13.5" customHeight="1">
      <c r="A75" s="16">
        <f t="shared" si="1"/>
        <v>74</v>
      </c>
      <c r="B75" s="11" t="str">
        <f>'GDP Source - Filtered'!E75</f>
        <v>Grenada</v>
      </c>
      <c r="C75" s="11" t="str">
        <f>'GDP Source - Filtered'!B75</f>
        <v>GRD</v>
      </c>
      <c r="D75" s="13">
        <f>'GDP Source - Filtered'!D75</f>
        <v>10042.65031</v>
      </c>
      <c r="E75" s="17">
        <f t="shared" si="2"/>
        <v>9.214596334</v>
      </c>
      <c r="F75" s="17">
        <f>Parameters!$B$5</f>
        <v>5.593598707</v>
      </c>
      <c r="G75" s="17">
        <f>Parameters!$B$6</f>
        <v>11.66576274</v>
      </c>
      <c r="H75" s="12">
        <f t="shared" si="3"/>
        <v>59.63273732</v>
      </c>
      <c r="I75" s="12">
        <f>'GDP Source - Filtered'!F75</f>
        <v>31.58893266</v>
      </c>
      <c r="J75" s="11" t="str">
        <f>'GDP Source - Filtered'!A75</f>
        <v>Grenada</v>
      </c>
    </row>
    <row r="76" ht="13.5" customHeight="1">
      <c r="A76" s="16">
        <f t="shared" si="1"/>
        <v>75</v>
      </c>
      <c r="B76" s="11" t="str">
        <f>'GDP Source - Filtered'!E76</f>
        <v>Brazil</v>
      </c>
      <c r="C76" s="11" t="str">
        <f>'GDP Source - Filtered'!B76</f>
        <v>BRA</v>
      </c>
      <c r="D76" s="13">
        <f>'GDP Source - Filtered'!D76</f>
        <v>9566.745187</v>
      </c>
      <c r="E76" s="17">
        <f t="shared" si="2"/>
        <v>9.166048321</v>
      </c>
      <c r="F76" s="17">
        <f>Parameters!$B$5</f>
        <v>5.593598707</v>
      </c>
      <c r="G76" s="17">
        <f>Parameters!$B$6</f>
        <v>11.66576274</v>
      </c>
      <c r="H76" s="12">
        <f t="shared" si="3"/>
        <v>58.83321984</v>
      </c>
      <c r="I76" s="12">
        <f>'GDP Source - Filtered'!F76</f>
        <v>100</v>
      </c>
      <c r="J76" s="11" t="str">
        <f>'GDP Source - Filtered'!A76</f>
        <v>Brazil</v>
      </c>
    </row>
    <row r="77" ht="13.5" customHeight="1">
      <c r="A77" s="16">
        <f t="shared" si="1"/>
        <v>76</v>
      </c>
      <c r="B77" s="11" t="str">
        <f>'GDP Source - Filtered'!E77</f>
        <v>Saint Vincent and the Grenadines</v>
      </c>
      <c r="C77" s="11" t="str">
        <f>'GDP Source - Filtered'!B77</f>
        <v>VCT</v>
      </c>
      <c r="D77" s="13">
        <f>'GDP Source - Filtered'!D77</f>
        <v>9485.187712</v>
      </c>
      <c r="E77" s="17">
        <f t="shared" si="2"/>
        <v>9.157486673</v>
      </c>
      <c r="F77" s="17">
        <f>Parameters!$B$5</f>
        <v>5.593598707</v>
      </c>
      <c r="G77" s="17">
        <f>Parameters!$B$6</f>
        <v>11.66576274</v>
      </c>
      <c r="H77" s="12">
        <f t="shared" si="3"/>
        <v>58.69222154</v>
      </c>
      <c r="I77" s="12">
        <f>'GDP Source - Filtered'!F77</f>
        <v>43.24800545</v>
      </c>
      <c r="J77" s="11" t="str">
        <f>'GDP Source - Filtered'!A77</f>
        <v>St. Vincent and the Grenadines</v>
      </c>
    </row>
    <row r="78" ht="13.5" customHeight="1">
      <c r="A78" s="16">
        <f t="shared" si="1"/>
        <v>77</v>
      </c>
      <c r="B78" s="11" t="str">
        <f>'GDP Source - Filtered'!E78</f>
        <v>Dominica</v>
      </c>
      <c r="C78" s="11" t="str">
        <f>'GDP Source - Filtered'!B78</f>
        <v>DMA</v>
      </c>
      <c r="D78" s="13">
        <f>'GDP Source - Filtered'!D78</f>
        <v>9172.710496</v>
      </c>
      <c r="E78" s="17">
        <f t="shared" si="2"/>
        <v>9.123988105</v>
      </c>
      <c r="F78" s="17">
        <f>Parameters!$B$5</f>
        <v>5.593598707</v>
      </c>
      <c r="G78" s="17">
        <f>Parameters!$B$6</f>
        <v>11.66576274</v>
      </c>
      <c r="H78" s="12">
        <f t="shared" si="3"/>
        <v>58.14054724</v>
      </c>
      <c r="I78" s="12">
        <f>'GDP Source - Filtered'!F78</f>
        <v>41.10320871</v>
      </c>
      <c r="J78" s="11" t="str">
        <f>'GDP Source - Filtered'!A78</f>
        <v>Dominica</v>
      </c>
    </row>
    <row r="79" ht="13.5" customHeight="1">
      <c r="A79" s="16">
        <f t="shared" si="1"/>
        <v>78</v>
      </c>
      <c r="B79" s="11" t="str">
        <f>'GDP Source - Filtered'!E79</f>
        <v>Dominican Rep.</v>
      </c>
      <c r="C79" s="11" t="str">
        <f>'GDP Source - Filtered'!B79</f>
        <v>DOM</v>
      </c>
      <c r="D79" s="13">
        <f>'GDP Source - Filtered'!D79</f>
        <v>9168.454189</v>
      </c>
      <c r="E79" s="17">
        <f t="shared" si="2"/>
        <v>9.123523978</v>
      </c>
      <c r="F79" s="17">
        <f>Parameters!$B$5</f>
        <v>5.593598707</v>
      </c>
      <c r="G79" s="17">
        <f>Parameters!$B$6</f>
        <v>11.66576274</v>
      </c>
      <c r="H79" s="12">
        <f t="shared" si="3"/>
        <v>58.13290374</v>
      </c>
      <c r="I79" s="12">
        <f>'GDP Source - Filtered'!F79</f>
        <v>38.13164293</v>
      </c>
      <c r="J79" s="11" t="str">
        <f>'GDP Source - Filtered'!A79</f>
        <v>Dominican Republic</v>
      </c>
    </row>
    <row r="80" ht="13.5" customHeight="1">
      <c r="A80" s="16">
        <f t="shared" si="1"/>
        <v>79</v>
      </c>
      <c r="B80" s="11" t="str">
        <f>'GDP Source - Filtered'!E80</f>
        <v>Serbia</v>
      </c>
      <c r="C80" s="11" t="str">
        <f>'GDP Source - Filtered'!B80</f>
        <v>SRB</v>
      </c>
      <c r="D80" s="13">
        <f>'GDP Source - Filtered'!D80</f>
        <v>8580.261058</v>
      </c>
      <c r="E80" s="17">
        <f t="shared" si="2"/>
        <v>9.057219618</v>
      </c>
      <c r="F80" s="17">
        <f>Parameters!$B$5</f>
        <v>5.593598707</v>
      </c>
      <c r="G80" s="17">
        <f>Parameters!$B$6</f>
        <v>11.66576274</v>
      </c>
      <c r="H80" s="12">
        <f t="shared" si="3"/>
        <v>57.0409642</v>
      </c>
      <c r="I80" s="12">
        <f>'GDP Source - Filtered'!F80</f>
        <v>71.48249885</v>
      </c>
      <c r="J80" s="11" t="str">
        <f>'GDP Source - Filtered'!A80</f>
        <v>Serbia</v>
      </c>
    </row>
    <row r="81" ht="13.5" customHeight="1">
      <c r="A81" s="16">
        <f t="shared" si="1"/>
        <v>80</v>
      </c>
      <c r="B81" s="11" t="str">
        <f>'GDP Source - Filtered'!E81</f>
        <v>Montenegro</v>
      </c>
      <c r="C81" s="11" t="str">
        <f>'GDP Source - Filtered'!B81</f>
        <v>MNE</v>
      </c>
      <c r="D81" s="13">
        <f>'GDP Source - Filtered'!D81</f>
        <v>8540.004278</v>
      </c>
      <c r="E81" s="17">
        <f t="shared" si="2"/>
        <v>9.052516788</v>
      </c>
      <c r="F81" s="17">
        <f>Parameters!$B$5</f>
        <v>5.593598707</v>
      </c>
      <c r="G81" s="17">
        <f>Parameters!$B$6</f>
        <v>11.66576274</v>
      </c>
      <c r="H81" s="12">
        <f t="shared" si="3"/>
        <v>56.96351519</v>
      </c>
      <c r="I81" s="12">
        <f>'GDP Source - Filtered'!F81</f>
        <v>76.67310043</v>
      </c>
      <c r="J81" s="11" t="str">
        <f>'GDP Source - Filtered'!A81</f>
        <v>Montenegro</v>
      </c>
    </row>
    <row r="82" ht="13.5" customHeight="1">
      <c r="A82" s="16">
        <f t="shared" si="1"/>
        <v>81</v>
      </c>
      <c r="B82" s="11" t="str">
        <f>'GDP Source - Filtered'!E82</f>
        <v>Turkmenistan</v>
      </c>
      <c r="C82" s="11" t="str">
        <f>'GDP Source - Filtered'!B82</f>
        <v>TKM</v>
      </c>
      <c r="D82" s="13">
        <f>'GDP Source - Filtered'!D82</f>
        <v>8229.672611</v>
      </c>
      <c r="E82" s="17">
        <f t="shared" si="2"/>
        <v>9.015501513</v>
      </c>
      <c r="F82" s="17">
        <f>Parameters!$B$5</f>
        <v>5.593598707</v>
      </c>
      <c r="G82" s="17">
        <f>Parameters!$B$6</f>
        <v>11.66576274</v>
      </c>
      <c r="H82" s="12">
        <f t="shared" si="3"/>
        <v>56.35392568</v>
      </c>
      <c r="I82" s="12">
        <f>'GDP Source - Filtered'!F82</f>
        <v>100</v>
      </c>
      <c r="J82" s="11" t="str">
        <f>'GDP Source - Filtered'!A82</f>
        <v>Turkmenistan</v>
      </c>
    </row>
    <row r="83" ht="13.5" customHeight="1">
      <c r="A83" s="16">
        <f t="shared" si="1"/>
        <v>82</v>
      </c>
      <c r="B83" s="11" t="str">
        <f>'GDP Source - Filtered'!E83</f>
        <v>Nauru</v>
      </c>
      <c r="C83" s="11" t="str">
        <f>'GDP Source - Filtered'!B83</f>
        <v>NRU</v>
      </c>
      <c r="D83" s="13">
        <f>'GDP Source - Filtered'!D83</f>
        <v>8218.724768</v>
      </c>
      <c r="E83" s="17">
        <f t="shared" si="2"/>
        <v>9.014170338</v>
      </c>
      <c r="F83" s="17">
        <f>Parameters!$B$5</f>
        <v>5.593598707</v>
      </c>
      <c r="G83" s="17">
        <f>Parameters!$B$6</f>
        <v>11.66576274</v>
      </c>
      <c r="H83" s="12">
        <f t="shared" si="3"/>
        <v>56.33200311</v>
      </c>
      <c r="I83" s="12">
        <f>'GDP Source - Filtered'!F83</f>
        <v>39.28319034</v>
      </c>
      <c r="J83" s="11" t="str">
        <f>'GDP Source - Filtered'!A83</f>
        <v>Naoero</v>
      </c>
    </row>
    <row r="84" ht="13.5" customHeight="1">
      <c r="A84" s="16">
        <f t="shared" si="1"/>
        <v>83</v>
      </c>
      <c r="B84" s="11" t="str">
        <f>'GDP Source - Filtered'!E84</f>
        <v>Libya</v>
      </c>
      <c r="C84" s="11" t="str">
        <f>'GDP Source - Filtered'!B84</f>
        <v>LBY</v>
      </c>
      <c r="D84" s="13">
        <f>'GDP Source - Filtered'!D84</f>
        <v>7696.080782</v>
      </c>
      <c r="E84" s="17">
        <f t="shared" si="2"/>
        <v>8.948466489</v>
      </c>
      <c r="F84" s="17">
        <f>Parameters!$B$5</f>
        <v>5.593598707</v>
      </c>
      <c r="G84" s="17">
        <f>Parameters!$B$6</f>
        <v>11.66576274</v>
      </c>
      <c r="H84" s="12">
        <f t="shared" si="3"/>
        <v>55.24995314</v>
      </c>
      <c r="I84" s="12">
        <f>'GDP Source - Filtered'!F84</f>
        <v>100</v>
      </c>
      <c r="J84" s="11" t="str">
        <f>'GDP Source - Filtered'!A84</f>
        <v>Libya</v>
      </c>
    </row>
    <row r="85" ht="13.5" customHeight="1">
      <c r="A85" s="16">
        <f t="shared" si="1"/>
        <v>84</v>
      </c>
      <c r="B85" s="11" t="str">
        <f>'GDP Source - Filtered'!E85</f>
        <v>Cuba</v>
      </c>
      <c r="C85" s="11" t="str">
        <f>'GDP Source - Filtered'!B85</f>
        <v>CUB</v>
      </c>
      <c r="D85" s="13">
        <f>'GDP Source - Filtered'!D85</f>
        <v>7381.39774</v>
      </c>
      <c r="E85" s="17">
        <f t="shared" si="2"/>
        <v>8.906718295</v>
      </c>
      <c r="F85" s="17">
        <f>Parameters!$B$5</f>
        <v>5.593598707</v>
      </c>
      <c r="G85" s="17">
        <f>Parameters!$B$6</f>
        <v>11.66576274</v>
      </c>
      <c r="H85" s="12">
        <f t="shared" si="3"/>
        <v>54.56241911</v>
      </c>
      <c r="I85" s="12">
        <f>'GDP Source - Filtered'!F85</f>
        <v>63.47718783</v>
      </c>
      <c r="J85" s="11" t="str">
        <f>'GDP Source - Filtered'!A85</f>
        <v>Cuba</v>
      </c>
    </row>
    <row r="86" ht="13.5" customHeight="1">
      <c r="A86" s="16">
        <f t="shared" si="1"/>
        <v>85</v>
      </c>
      <c r="B86" s="11" t="str">
        <f>'GDP Source - Filtered'!E86</f>
        <v>Suriname</v>
      </c>
      <c r="C86" s="11" t="str">
        <f>'GDP Source - Filtered'!B86</f>
        <v>SUR</v>
      </c>
      <c r="D86" s="13">
        <f>'GDP Source - Filtered'!D86</f>
        <v>7246.257682</v>
      </c>
      <c r="E86" s="17">
        <f t="shared" si="2"/>
        <v>8.888240433</v>
      </c>
      <c r="F86" s="17">
        <f>Parameters!$B$5</f>
        <v>5.593598707</v>
      </c>
      <c r="G86" s="17">
        <f>Parameters!$B$6</f>
        <v>11.66576274</v>
      </c>
      <c r="H86" s="12">
        <f t="shared" si="3"/>
        <v>54.25811471</v>
      </c>
      <c r="I86" s="12">
        <f>'GDP Source - Filtered'!F86</f>
        <v>99.84250422</v>
      </c>
      <c r="J86" s="11" t="str">
        <f>'GDP Source - Filtered'!A86</f>
        <v>Suriname</v>
      </c>
    </row>
    <row r="87" ht="13.5" customHeight="1">
      <c r="A87" s="16">
        <f t="shared" si="1"/>
        <v>86</v>
      </c>
      <c r="B87" s="11" t="str">
        <f>'GDP Source - Filtered'!E87</f>
        <v>Botswana</v>
      </c>
      <c r="C87" s="11" t="str">
        <f>'GDP Source - Filtered'!B87</f>
        <v>BWA</v>
      </c>
      <c r="D87" s="13">
        <f>'GDP Source - Filtered'!D87</f>
        <v>6952.347704</v>
      </c>
      <c r="E87" s="17">
        <f t="shared" si="2"/>
        <v>8.846834681</v>
      </c>
      <c r="F87" s="17">
        <f>Parameters!$B$5</f>
        <v>5.593598707</v>
      </c>
      <c r="G87" s="17">
        <f>Parameters!$B$6</f>
        <v>11.66576274</v>
      </c>
      <c r="H87" s="12">
        <f t="shared" si="3"/>
        <v>53.57622022</v>
      </c>
      <c r="I87" s="12">
        <f>'GDP Source - Filtered'!F87</f>
        <v>78.15368563</v>
      </c>
      <c r="J87" s="11" t="str">
        <f>'GDP Source - Filtered'!A87</f>
        <v>Botswana</v>
      </c>
    </row>
    <row r="88" ht="13.5" customHeight="1">
      <c r="A88" s="16">
        <f t="shared" si="1"/>
        <v>87</v>
      </c>
      <c r="B88" s="11" t="str">
        <f>'GDP Source - Filtered'!E88</f>
        <v>Colombia</v>
      </c>
      <c r="C88" s="11" t="str">
        <f>'GDP Source - Filtered'!B88</f>
        <v>COL</v>
      </c>
      <c r="D88" s="13">
        <f>'GDP Source - Filtered'!D88</f>
        <v>6865.312839</v>
      </c>
      <c r="E88" s="17">
        <f t="shared" si="2"/>
        <v>8.834236887</v>
      </c>
      <c r="F88" s="17">
        <f>Parameters!$B$5</f>
        <v>5.593598707</v>
      </c>
      <c r="G88" s="17">
        <f>Parameters!$B$6</f>
        <v>11.66576274</v>
      </c>
      <c r="H88" s="12">
        <f t="shared" si="3"/>
        <v>53.36875228</v>
      </c>
      <c r="I88" s="12">
        <f>'GDP Source - Filtered'!F88</f>
        <v>100</v>
      </c>
      <c r="J88" s="11" t="str">
        <f>'GDP Source - Filtered'!A88</f>
        <v>Colombia</v>
      </c>
    </row>
    <row r="89" ht="13.5" customHeight="1">
      <c r="A89" s="16">
        <f t="shared" si="1"/>
        <v>88</v>
      </c>
      <c r="B89" s="11" t="str">
        <f>'GDP Source - Filtered'!E89</f>
        <v>Belarus</v>
      </c>
      <c r="C89" s="11" t="str">
        <f>'GDP Source - Filtered'!B89</f>
        <v>BLR</v>
      </c>
      <c r="D89" s="13">
        <f>'GDP Source - Filtered'!D89</f>
        <v>6814.344434</v>
      </c>
      <c r="E89" s="17">
        <f t="shared" si="2"/>
        <v>8.826785145</v>
      </c>
      <c r="F89" s="17">
        <f>Parameters!$B$5</f>
        <v>5.593598707</v>
      </c>
      <c r="G89" s="17">
        <f>Parameters!$B$6</f>
        <v>11.66576274</v>
      </c>
      <c r="H89" s="12">
        <f t="shared" si="3"/>
        <v>53.24603257</v>
      </c>
      <c r="I89" s="12">
        <f>'GDP Source - Filtered'!F89</f>
        <v>56.12173055</v>
      </c>
      <c r="J89" s="11" t="str">
        <f>'GDP Source - Filtered'!A89</f>
        <v>Belarus</v>
      </c>
    </row>
    <row r="90" ht="13.5" customHeight="1">
      <c r="A90" s="16">
        <f t="shared" si="1"/>
        <v>89</v>
      </c>
      <c r="B90" s="11" t="str">
        <f>'GDP Source - Filtered'!E90</f>
        <v>Bosnia Herzegovina</v>
      </c>
      <c r="C90" s="11" t="str">
        <f>'GDP Source - Filtered'!B90</f>
        <v>BIH</v>
      </c>
      <c r="D90" s="13">
        <f>'GDP Source - Filtered'!D90</f>
        <v>6746.953665</v>
      </c>
      <c r="E90" s="17">
        <f t="shared" si="2"/>
        <v>8.816846373</v>
      </c>
      <c r="F90" s="17">
        <f>Parameters!$B$5</f>
        <v>5.593598707</v>
      </c>
      <c r="G90" s="17">
        <f>Parameters!$B$6</f>
        <v>11.66576274</v>
      </c>
      <c r="H90" s="12">
        <f t="shared" si="3"/>
        <v>53.08235498</v>
      </c>
      <c r="I90" s="12">
        <f>'GDP Source - Filtered'!F90</f>
        <v>82.6573222</v>
      </c>
      <c r="J90" s="11" t="str">
        <f>'GDP Source - Filtered'!A90</f>
        <v>Bosnia and Herzegovina</v>
      </c>
    </row>
    <row r="91" ht="13.5" customHeight="1">
      <c r="A91" s="16">
        <f t="shared" si="1"/>
        <v>90</v>
      </c>
      <c r="B91" s="11" t="str">
        <f>'GDP Source - Filtered'!E91</f>
        <v>Peru</v>
      </c>
      <c r="C91" s="11" t="str">
        <f>'GDP Source - Filtered'!B91</f>
        <v>PER</v>
      </c>
      <c r="D91" s="13">
        <f>'GDP Source - Filtered'!D91</f>
        <v>6732.277738</v>
      </c>
      <c r="E91" s="17">
        <f t="shared" si="2"/>
        <v>8.814668811</v>
      </c>
      <c r="F91" s="17">
        <f>Parameters!$B$5</f>
        <v>5.593598707</v>
      </c>
      <c r="G91" s="17">
        <f>Parameters!$B$6</f>
        <v>11.66576274</v>
      </c>
      <c r="H91" s="12">
        <f t="shared" si="3"/>
        <v>53.04649359</v>
      </c>
      <c r="I91" s="12">
        <f>'GDP Source - Filtered'!F91</f>
        <v>96.05805302</v>
      </c>
      <c r="J91" s="11" t="str">
        <f>'GDP Source - Filtered'!A91</f>
        <v>Peru</v>
      </c>
    </row>
    <row r="92" ht="13.5" customHeight="1">
      <c r="A92" s="16">
        <f t="shared" si="1"/>
        <v>91</v>
      </c>
      <c r="B92" s="11" t="str">
        <f>'GDP Source - Filtered'!E92</f>
        <v>Paraguay</v>
      </c>
      <c r="C92" s="11" t="str">
        <f>'GDP Source - Filtered'!B92</f>
        <v>PRY</v>
      </c>
      <c r="D92" s="13">
        <f>'GDP Source - Filtered'!D92</f>
        <v>6670.699566</v>
      </c>
      <c r="E92" s="17">
        <f t="shared" si="2"/>
        <v>8.805480016</v>
      </c>
      <c r="F92" s="17">
        <f>Parameters!$B$5</f>
        <v>5.593598707</v>
      </c>
      <c r="G92" s="17">
        <f>Parameters!$B$6</f>
        <v>11.66576274</v>
      </c>
      <c r="H92" s="12">
        <f t="shared" si="3"/>
        <v>52.89516706</v>
      </c>
      <c r="I92" s="12">
        <f>'GDP Source - Filtered'!F92</f>
        <v>100</v>
      </c>
      <c r="J92" s="11" t="str">
        <f>'GDP Source - Filtered'!A92</f>
        <v>Paraguay</v>
      </c>
    </row>
    <row r="93" ht="13.5" customHeight="1">
      <c r="A93" s="16">
        <f t="shared" si="1"/>
        <v>92</v>
      </c>
      <c r="B93" s="11" t="str">
        <f>'GDP Source - Filtered'!E93</f>
        <v>North Macedonia</v>
      </c>
      <c r="C93" s="11" t="str">
        <f>'GDP Source - Filtered'!B93</f>
        <v>MKD</v>
      </c>
      <c r="D93" s="13">
        <f>'GDP Source - Filtered'!D93</f>
        <v>6628.846866</v>
      </c>
      <c r="E93" s="17">
        <f t="shared" si="2"/>
        <v>8.799186141</v>
      </c>
      <c r="F93" s="17">
        <f>Parameters!$B$5</f>
        <v>5.593598707</v>
      </c>
      <c r="G93" s="17">
        <f>Parameters!$B$6</f>
        <v>11.66576274</v>
      </c>
      <c r="H93" s="12">
        <f t="shared" si="3"/>
        <v>52.7915158</v>
      </c>
      <c r="I93" s="12">
        <f>'GDP Source - Filtered'!F93</f>
        <v>56.40567109</v>
      </c>
      <c r="J93" s="11" t="str">
        <f>'GDP Source - Filtered'!A93</f>
        <v>North Macedonia</v>
      </c>
    </row>
    <row r="94" ht="13.5" customHeight="1">
      <c r="A94" s="16">
        <f t="shared" si="1"/>
        <v>93</v>
      </c>
      <c r="B94" s="11" t="str">
        <f>'GDP Source - Filtered'!E94</f>
        <v>Gabon</v>
      </c>
      <c r="C94" s="11" t="str">
        <f>'GDP Source - Filtered'!B94</f>
        <v>GAB</v>
      </c>
      <c r="D94" s="13">
        <f>'GDP Source - Filtered'!D94</f>
        <v>6618.986859</v>
      </c>
      <c r="E94" s="17">
        <f t="shared" si="2"/>
        <v>8.797697595</v>
      </c>
      <c r="F94" s="17">
        <f>Parameters!$B$5</f>
        <v>5.593598707</v>
      </c>
      <c r="G94" s="17">
        <f>Parameters!$B$6</f>
        <v>11.66576274</v>
      </c>
      <c r="H94" s="12">
        <f t="shared" si="3"/>
        <v>52.76700153</v>
      </c>
      <c r="I94" s="12">
        <f>'GDP Source - Filtered'!F94</f>
        <v>100</v>
      </c>
      <c r="J94" s="11" t="str">
        <f>'GDP Source - Filtered'!A94</f>
        <v>Gabon</v>
      </c>
    </row>
    <row r="95" ht="13.5" customHeight="1">
      <c r="A95" s="16">
        <f t="shared" si="1"/>
        <v>94</v>
      </c>
      <c r="B95" s="11" t="str">
        <f>'GDP Source - Filtered'!E95</f>
        <v>Thailand</v>
      </c>
      <c r="C95" s="11" t="str">
        <f>'GDP Source - Filtered'!B95</f>
        <v>THA</v>
      </c>
      <c r="D95" s="13">
        <f>'GDP Source - Filtered'!D95</f>
        <v>6616.585393</v>
      </c>
      <c r="E95" s="17">
        <f t="shared" si="2"/>
        <v>8.797334714</v>
      </c>
      <c r="F95" s="17">
        <f>Parameters!$B$5</f>
        <v>5.593598707</v>
      </c>
      <c r="G95" s="17">
        <f>Parameters!$B$6</f>
        <v>11.66576274</v>
      </c>
      <c r="H95" s="12">
        <f t="shared" si="3"/>
        <v>52.7610254</v>
      </c>
      <c r="I95" s="12">
        <f>'GDP Source - Filtered'!F95</f>
        <v>63.48038658</v>
      </c>
      <c r="J95" s="11" t="str">
        <f>'GDP Source - Filtered'!A95</f>
        <v>Thailand</v>
      </c>
    </row>
    <row r="96" ht="13.5" customHeight="1">
      <c r="A96" s="16">
        <f t="shared" si="1"/>
        <v>95</v>
      </c>
      <c r="B96" s="11" t="str">
        <f>'GDP Source - Filtered'!E96</f>
        <v>Georgia</v>
      </c>
      <c r="C96" s="11" t="str">
        <f>'GDP Source - Filtered'!B96</f>
        <v>GEO</v>
      </c>
      <c r="D96" s="13">
        <f>'GDP Source - Filtered'!D96</f>
        <v>6606.357723</v>
      </c>
      <c r="E96" s="17">
        <f t="shared" si="2"/>
        <v>8.795787756</v>
      </c>
      <c r="F96" s="17">
        <f>Parameters!$B$5</f>
        <v>5.593598707</v>
      </c>
      <c r="G96" s="17">
        <f>Parameters!$B$6</f>
        <v>11.66576274</v>
      </c>
      <c r="H96" s="12">
        <f t="shared" si="3"/>
        <v>52.73554917</v>
      </c>
      <c r="I96" s="12">
        <f>'GDP Source - Filtered'!F96</f>
        <v>49.97010082</v>
      </c>
      <c r="J96" s="11" t="str">
        <f>'GDP Source - Filtered'!A96</f>
        <v>Georgia</v>
      </c>
    </row>
    <row r="97" ht="13.5" customHeight="1">
      <c r="A97" s="16">
        <f t="shared" si="1"/>
        <v>96</v>
      </c>
      <c r="B97" s="11" t="str">
        <f>'GDP Source - Filtered'!E97</f>
        <v>Albania</v>
      </c>
      <c r="C97" s="11" t="str">
        <f>'GDP Source - Filtered'!B97</f>
        <v>ALB</v>
      </c>
      <c r="D97" s="13">
        <f>'GDP Source - Filtered'!D97</f>
        <v>6549.233874</v>
      </c>
      <c r="E97" s="17">
        <f t="shared" si="2"/>
        <v>8.787103356</v>
      </c>
      <c r="F97" s="17">
        <f>Parameters!$B$5</f>
        <v>5.593598707</v>
      </c>
      <c r="G97" s="17">
        <f>Parameters!$B$6</f>
        <v>11.66576274</v>
      </c>
      <c r="H97" s="12">
        <f t="shared" si="3"/>
        <v>52.59252932</v>
      </c>
      <c r="I97" s="12">
        <f>'GDP Source - Filtered'!F97</f>
        <v>85.76155378</v>
      </c>
      <c r="J97" s="11" t="str">
        <f>'GDP Source - Filtered'!A97</f>
        <v>Albania</v>
      </c>
    </row>
    <row r="98" ht="13.5" customHeight="1">
      <c r="A98" s="16">
        <f t="shared" si="1"/>
        <v>97</v>
      </c>
      <c r="B98" s="11" t="str">
        <f>'GDP Source - Filtered'!E98</f>
        <v>Belize</v>
      </c>
      <c r="C98" s="11" t="str">
        <f>'GDP Source - Filtered'!B98</f>
        <v>BLZ</v>
      </c>
      <c r="D98" s="13">
        <f>'GDP Source - Filtered'!D98</f>
        <v>6290.492945</v>
      </c>
      <c r="E98" s="17">
        <f t="shared" si="2"/>
        <v>8.746794716</v>
      </c>
      <c r="F98" s="17">
        <f>Parameters!$B$5</f>
        <v>5.593598707</v>
      </c>
      <c r="G98" s="17">
        <f>Parameters!$B$6</f>
        <v>11.66576274</v>
      </c>
      <c r="H98" s="12">
        <f t="shared" si="3"/>
        <v>51.92870273</v>
      </c>
      <c r="I98" s="12">
        <f>'GDP Source - Filtered'!F98</f>
        <v>54.21751356</v>
      </c>
      <c r="J98" s="11" t="str">
        <f>'GDP Source - Filtered'!A98</f>
        <v>Belize</v>
      </c>
    </row>
    <row r="99" ht="13.5" customHeight="1">
      <c r="A99" s="16">
        <f t="shared" si="1"/>
        <v>98</v>
      </c>
      <c r="B99" s="11" t="str">
        <f>'GDP Source - Filtered'!E99</f>
        <v>Jamaica</v>
      </c>
      <c r="C99" s="11" t="str">
        <f>'GDP Source - Filtered'!B99</f>
        <v>JAM</v>
      </c>
      <c r="D99" s="13">
        <f>'GDP Source - Filtered'!D99</f>
        <v>6096.432703</v>
      </c>
      <c r="E99" s="17">
        <f t="shared" si="2"/>
        <v>8.715459076</v>
      </c>
      <c r="F99" s="17">
        <f>Parameters!$B$5</f>
        <v>5.593598707</v>
      </c>
      <c r="G99" s="17">
        <f>Parameters!$B$6</f>
        <v>11.66576274</v>
      </c>
      <c r="H99" s="12">
        <f t="shared" si="3"/>
        <v>51.41264882</v>
      </c>
      <c r="I99" s="12">
        <f>'GDP Source - Filtered'!F99</f>
        <v>37.59916602</v>
      </c>
      <c r="J99" s="11" t="str">
        <f>'GDP Source - Filtered'!A99</f>
        <v>Jamaica</v>
      </c>
    </row>
    <row r="100" ht="13.5" customHeight="1">
      <c r="A100" s="16">
        <f t="shared" si="1"/>
        <v>99</v>
      </c>
      <c r="B100" s="11" t="str">
        <f>'GDP Source - Filtered'!E100</f>
        <v>Ecuador</v>
      </c>
      <c r="C100" s="11" t="str">
        <f>'GDP Source - Filtered'!B100</f>
        <v>ECU</v>
      </c>
      <c r="D100" s="13">
        <f>'GDP Source - Filtered'!D100</f>
        <v>5993.746978</v>
      </c>
      <c r="E100" s="17">
        <f t="shared" si="2"/>
        <v>8.698472034</v>
      </c>
      <c r="F100" s="17">
        <f>Parameters!$B$5</f>
        <v>5.593598707</v>
      </c>
      <c r="G100" s="17">
        <f>Parameters!$B$6</f>
        <v>11.66576274</v>
      </c>
      <c r="H100" s="12">
        <f t="shared" si="3"/>
        <v>51.13289613</v>
      </c>
      <c r="I100" s="12">
        <f>'GDP Source - Filtered'!F100</f>
        <v>100</v>
      </c>
      <c r="J100" s="11" t="str">
        <f>'GDP Source - Filtered'!A100</f>
        <v>Ecuador</v>
      </c>
    </row>
    <row r="101" ht="13.5" customHeight="1">
      <c r="A101" s="16">
        <f t="shared" si="1"/>
        <v>100</v>
      </c>
      <c r="B101" s="11" t="str">
        <f>'GDP Source - Filtered'!E101</f>
        <v>Fiji</v>
      </c>
      <c r="C101" s="11" t="str">
        <f>'GDP Source - Filtered'!B101</f>
        <v>FJI</v>
      </c>
      <c r="D101" s="13">
        <f>'GDP Source - Filtered'!D101</f>
        <v>5935.208957</v>
      </c>
      <c r="E101" s="17">
        <f t="shared" si="2"/>
        <v>8.688657514</v>
      </c>
      <c r="F101" s="17">
        <f>Parameters!$B$5</f>
        <v>5.593598707</v>
      </c>
      <c r="G101" s="17">
        <f>Parameters!$B$6</f>
        <v>11.66576274</v>
      </c>
      <c r="H101" s="12">
        <f t="shared" si="3"/>
        <v>50.97126479</v>
      </c>
      <c r="I101" s="12">
        <f>'GDP Source - Filtered'!F101</f>
        <v>45.77572571</v>
      </c>
      <c r="J101" s="11" t="str">
        <f>'GDP Source - Filtered'!A101</f>
        <v>Fiji</v>
      </c>
    </row>
    <row r="102" ht="13.5" customHeight="1">
      <c r="A102" s="16">
        <f t="shared" si="1"/>
        <v>101</v>
      </c>
      <c r="B102" s="11" t="str">
        <f>'GDP Source - Filtered'!E102</f>
        <v>Azerbaijan</v>
      </c>
      <c r="C102" s="11" t="str">
        <f>'GDP Source - Filtered'!B102</f>
        <v>AZE</v>
      </c>
      <c r="D102" s="13">
        <f>'GDP Source - Filtered'!D102</f>
        <v>5876.032955</v>
      </c>
      <c r="E102" s="17">
        <f t="shared" si="2"/>
        <v>8.678637146</v>
      </c>
      <c r="F102" s="17">
        <f>Parameters!$B$5</f>
        <v>5.593598707</v>
      </c>
      <c r="G102" s="17">
        <f>Parameters!$B$6</f>
        <v>11.66576274</v>
      </c>
      <c r="H102" s="12">
        <f t="shared" si="3"/>
        <v>50.80624342</v>
      </c>
      <c r="I102" s="12">
        <f>'GDP Source - Filtered'!F102</f>
        <v>100</v>
      </c>
      <c r="J102" s="11" t="str">
        <f>'GDP Source - Filtered'!A102</f>
        <v>Azerbaijan</v>
      </c>
    </row>
    <row r="103" ht="13.5" customHeight="1">
      <c r="A103" s="16">
        <f t="shared" si="1"/>
        <v>102</v>
      </c>
      <c r="B103" s="11" t="str">
        <f>'GDP Source - Filtered'!E103</f>
        <v>Iran</v>
      </c>
      <c r="C103" s="11" t="str">
        <f>'GDP Source - Filtered'!B103</f>
        <v>IRN</v>
      </c>
      <c r="D103" s="13">
        <f>'GDP Source - Filtered'!D103</f>
        <v>5834.442969</v>
      </c>
      <c r="E103" s="17">
        <f t="shared" si="2"/>
        <v>8.671534076</v>
      </c>
      <c r="F103" s="17">
        <f>Parameters!$B$5</f>
        <v>5.593598707</v>
      </c>
      <c r="G103" s="17">
        <f>Parameters!$B$6</f>
        <v>11.66576274</v>
      </c>
      <c r="H103" s="12">
        <f t="shared" si="3"/>
        <v>50.68926586</v>
      </c>
      <c r="I103" s="12">
        <f>'GDP Source - Filtered'!F103</f>
        <v>100</v>
      </c>
      <c r="J103" s="11" t="str">
        <f>'GDP Source - Filtered'!A103</f>
        <v>Iran, Islamic Rep.</v>
      </c>
    </row>
    <row r="104" ht="13.5" customHeight="1">
      <c r="A104" s="16">
        <f t="shared" si="1"/>
        <v>103</v>
      </c>
      <c r="B104" s="11" t="str">
        <f>'GDP Source - Filtered'!E104</f>
        <v>South Africa</v>
      </c>
      <c r="C104" s="11" t="str">
        <f>'GDP Source - Filtered'!B104</f>
        <v>ZAF</v>
      </c>
      <c r="D104" s="13">
        <f>'GDP Source - Filtered'!D104</f>
        <v>5715.475315</v>
      </c>
      <c r="E104" s="17">
        <f t="shared" si="2"/>
        <v>8.650932742</v>
      </c>
      <c r="F104" s="17">
        <f>Parameters!$B$5</f>
        <v>5.593598707</v>
      </c>
      <c r="G104" s="17">
        <f>Parameters!$B$6</f>
        <v>11.66576274</v>
      </c>
      <c r="H104" s="12">
        <f t="shared" si="3"/>
        <v>50.34999087</v>
      </c>
      <c r="I104" s="12">
        <f>'GDP Source - Filtered'!F104</f>
        <v>100</v>
      </c>
      <c r="J104" s="11" t="str">
        <f>'GDP Source - Filtered'!A104</f>
        <v>South Africa</v>
      </c>
    </row>
    <row r="105" ht="13.5" customHeight="1">
      <c r="A105" s="16">
        <f t="shared" si="1"/>
        <v>104</v>
      </c>
      <c r="B105" s="11" t="str">
        <f>'GDP Source - Filtered'!E105</f>
        <v>Lebanon</v>
      </c>
      <c r="C105" s="11" t="str">
        <f>'GDP Source - Filtered'!B105</f>
        <v>LBN</v>
      </c>
      <c r="D105" s="13">
        <f>'GDP Source - Filtered'!D105</f>
        <v>5391.229142</v>
      </c>
      <c r="E105" s="17">
        <f t="shared" si="2"/>
        <v>8.592528679</v>
      </c>
      <c r="F105" s="17">
        <f>Parameters!$B$5</f>
        <v>5.593598707</v>
      </c>
      <c r="G105" s="17">
        <f>Parameters!$B$6</f>
        <v>11.66576274</v>
      </c>
      <c r="H105" s="12">
        <f t="shared" si="3"/>
        <v>49.3881581</v>
      </c>
      <c r="I105" s="12">
        <f>'GDP Source - Filtered'!F105</f>
        <v>38.1292783</v>
      </c>
      <c r="J105" s="11" t="str">
        <f>'GDP Source - Filtered'!A105</f>
        <v>Lebanon</v>
      </c>
    </row>
    <row r="106" ht="13.5" customHeight="1">
      <c r="A106" s="16">
        <f t="shared" si="1"/>
        <v>105</v>
      </c>
      <c r="B106" s="11" t="str">
        <f>'GDP Source - Filtered'!E106</f>
        <v>Armenia</v>
      </c>
      <c r="C106" s="11" t="str">
        <f>'GDP Source - Filtered'!B106</f>
        <v>ARM</v>
      </c>
      <c r="D106" s="13">
        <f>'GDP Source - Filtered'!D106</f>
        <v>5378.318</v>
      </c>
      <c r="E106" s="17">
        <f t="shared" si="2"/>
        <v>8.590130965</v>
      </c>
      <c r="F106" s="17">
        <f>Parameters!$B$5</f>
        <v>5.593598707</v>
      </c>
      <c r="G106" s="17">
        <f>Parameters!$B$6</f>
        <v>11.66576274</v>
      </c>
      <c r="H106" s="12">
        <f t="shared" si="3"/>
        <v>49.34867112</v>
      </c>
      <c r="I106" s="12">
        <f>'GDP Source - Filtered'!F106</f>
        <v>46.5907959</v>
      </c>
      <c r="J106" s="11" t="str">
        <f>'GDP Source - Filtered'!A106</f>
        <v>Armenia</v>
      </c>
    </row>
    <row r="107" ht="13.5" customHeight="1">
      <c r="A107" s="16">
        <f t="shared" si="1"/>
        <v>106</v>
      </c>
      <c r="B107" s="11" t="str">
        <f>'GDP Source - Filtered'!E107</f>
        <v>Equatorial Guinea</v>
      </c>
      <c r="C107" s="11" t="str">
        <f>'GDP Source - Filtered'!B107</f>
        <v>GNQ</v>
      </c>
      <c r="D107" s="13">
        <f>'GDP Source - Filtered'!D107</f>
        <v>4892.953105</v>
      </c>
      <c r="E107" s="17">
        <f t="shared" si="2"/>
        <v>8.495551307</v>
      </c>
      <c r="F107" s="17">
        <f>Parameters!$B$5</f>
        <v>5.593598707</v>
      </c>
      <c r="G107" s="17">
        <f>Parameters!$B$6</f>
        <v>11.66576274</v>
      </c>
      <c r="H107" s="12">
        <f t="shared" si="3"/>
        <v>47.7910772</v>
      </c>
      <c r="I107" s="12">
        <f>'GDP Source - Filtered'!F107</f>
        <v>100</v>
      </c>
      <c r="J107" s="11" t="str">
        <f>'GDP Source - Filtered'!A107</f>
        <v>Equatorial Guinea</v>
      </c>
    </row>
    <row r="108" ht="13.5" customHeight="1">
      <c r="A108" s="16">
        <f t="shared" si="1"/>
        <v>107</v>
      </c>
      <c r="B108" s="11" t="str">
        <f>'GDP Source - Filtered'!E108</f>
        <v>Samoa</v>
      </c>
      <c r="C108" s="11" t="str">
        <f>'GDP Source - Filtered'!B108</f>
        <v>WSM</v>
      </c>
      <c r="D108" s="13">
        <f>'GDP Source - Filtered'!D108</f>
        <v>4880.54418</v>
      </c>
      <c r="E108" s="17">
        <f t="shared" si="2"/>
        <v>8.493012005</v>
      </c>
      <c r="F108" s="17">
        <f>Parameters!$B$5</f>
        <v>5.593598707</v>
      </c>
      <c r="G108" s="17">
        <f>Parameters!$B$6</f>
        <v>11.66576274</v>
      </c>
      <c r="H108" s="12">
        <f t="shared" si="3"/>
        <v>47.74925846</v>
      </c>
      <c r="I108" s="12">
        <f>'GDP Source - Filtered'!F108</f>
        <v>40.48570907</v>
      </c>
      <c r="J108" s="11" t="str">
        <f>'GDP Source - Filtered'!A108</f>
        <v>Samoa</v>
      </c>
    </row>
    <row r="109" ht="13.5" customHeight="1">
      <c r="A109" s="16">
        <f t="shared" si="1"/>
        <v>108</v>
      </c>
      <c r="B109" s="11" t="str">
        <f>'GDP Source - Filtered'!E109</f>
        <v>Tonga</v>
      </c>
      <c r="C109" s="11" t="str">
        <f>'GDP Source - Filtered'!B109</f>
        <v>TON</v>
      </c>
      <c r="D109" s="13">
        <f>'GDP Source - Filtered'!D109</f>
        <v>4779.923999</v>
      </c>
      <c r="E109" s="17">
        <f t="shared" si="2"/>
        <v>8.472179926</v>
      </c>
      <c r="F109" s="17">
        <f>Parameters!$B$5</f>
        <v>5.593598707</v>
      </c>
      <c r="G109" s="17">
        <f>Parameters!$B$6</f>
        <v>11.66576274</v>
      </c>
      <c r="H109" s="12">
        <f t="shared" si="3"/>
        <v>47.40618342</v>
      </c>
      <c r="I109" s="12">
        <f>'GDP Source - Filtered'!F109</f>
        <v>36.1698267</v>
      </c>
      <c r="J109" s="11" t="str">
        <f>'GDP Source - Filtered'!A109</f>
        <v>Tonga</v>
      </c>
    </row>
    <row r="110" ht="13.5" customHeight="1">
      <c r="A110" s="16">
        <f t="shared" si="1"/>
        <v>109</v>
      </c>
      <c r="B110" s="11" t="str">
        <f>'GDP Source - Filtered'!E110</f>
        <v>Algeria</v>
      </c>
      <c r="C110" s="11" t="str">
        <f>'GDP Source - Filtered'!B110</f>
        <v>DZA</v>
      </c>
      <c r="D110" s="13">
        <f>'GDP Source - Filtered'!D110</f>
        <v>4765.729002</v>
      </c>
      <c r="E110" s="17">
        <f t="shared" si="2"/>
        <v>8.469205795</v>
      </c>
      <c r="F110" s="17">
        <f>Parameters!$B$5</f>
        <v>5.593598707</v>
      </c>
      <c r="G110" s="17">
        <f>Parameters!$B$6</f>
        <v>11.66576274</v>
      </c>
      <c r="H110" s="12">
        <f t="shared" si="3"/>
        <v>47.35720368</v>
      </c>
      <c r="I110" s="12">
        <f>'GDP Source - Filtered'!F110</f>
        <v>100</v>
      </c>
      <c r="J110" s="11" t="str">
        <f>'GDP Source - Filtered'!A110</f>
        <v>Algeria</v>
      </c>
    </row>
    <row r="111" ht="13.5" customHeight="1">
      <c r="A111" s="16">
        <f t="shared" si="1"/>
        <v>110</v>
      </c>
      <c r="B111" s="11" t="str">
        <f>'GDP Source - Filtered'!E111</f>
        <v>Mongolia</v>
      </c>
      <c r="C111" s="11" t="str">
        <f>'GDP Source - Filtered'!B111</f>
        <v>MNG</v>
      </c>
      <c r="D111" s="13">
        <f>'GDP Source - Filtered'!D111</f>
        <v>4626.796096</v>
      </c>
      <c r="E111" s="17">
        <f t="shared" si="2"/>
        <v>8.43961992</v>
      </c>
      <c r="F111" s="17">
        <f>Parameters!$B$5</f>
        <v>5.593598707</v>
      </c>
      <c r="G111" s="17">
        <f>Parameters!$B$6</f>
        <v>11.66576274</v>
      </c>
      <c r="H111" s="12">
        <f t="shared" si="3"/>
        <v>46.86996593</v>
      </c>
      <c r="I111" s="12">
        <f>'GDP Source - Filtered'!F111</f>
        <v>100</v>
      </c>
      <c r="J111" s="11" t="str">
        <f>'GDP Source - Filtered'!A111</f>
        <v>Mongolia</v>
      </c>
    </row>
    <row r="112" ht="13.5" customHeight="1">
      <c r="A112" s="16">
        <f t="shared" si="1"/>
        <v>111</v>
      </c>
      <c r="B112" s="11" t="str">
        <f>'GDP Source - Filtered'!E112</f>
        <v>El Salvador</v>
      </c>
      <c r="C112" s="11" t="str">
        <f>'GDP Source - Filtered'!B112</f>
        <v>SLV</v>
      </c>
      <c r="D112" s="13">
        <f>'GDP Source - Filtered'!D112</f>
        <v>4576.558466</v>
      </c>
      <c r="E112" s="17">
        <f t="shared" si="2"/>
        <v>8.428702568</v>
      </c>
      <c r="F112" s="17">
        <f>Parameters!$B$5</f>
        <v>5.593598707</v>
      </c>
      <c r="G112" s="17">
        <f>Parameters!$B$6</f>
        <v>11.66576274</v>
      </c>
      <c r="H112" s="12">
        <f t="shared" si="3"/>
        <v>46.6901725</v>
      </c>
      <c r="I112" s="12">
        <f>'GDP Source - Filtered'!F112</f>
        <v>43.67564853</v>
      </c>
      <c r="J112" s="11" t="str">
        <f>'GDP Source - Filtered'!A112</f>
        <v>El Salvador</v>
      </c>
    </row>
    <row r="113" ht="13.5" customHeight="1">
      <c r="A113" s="16">
        <f t="shared" si="1"/>
        <v>112</v>
      </c>
      <c r="B113" s="11" t="str">
        <f>'GDP Source - Filtered'!E113</f>
        <v>Guatemala</v>
      </c>
      <c r="C113" s="11" t="str">
        <f>'GDP Source - Filtered'!B113</f>
        <v>GTM</v>
      </c>
      <c r="D113" s="13">
        <f>'GDP Source - Filtered'!D113</f>
        <v>4564.213785</v>
      </c>
      <c r="E113" s="17">
        <f t="shared" si="2"/>
        <v>8.426001551</v>
      </c>
      <c r="F113" s="17">
        <f>Parameters!$B$5</f>
        <v>5.593598707</v>
      </c>
      <c r="G113" s="17">
        <f>Parameters!$B$6</f>
        <v>11.66576274</v>
      </c>
      <c r="H113" s="12">
        <f t="shared" si="3"/>
        <v>46.64569056</v>
      </c>
      <c r="I113" s="12">
        <f>'GDP Source - Filtered'!F113</f>
        <v>45.08326944</v>
      </c>
      <c r="J113" s="11" t="str">
        <f>'GDP Source - Filtered'!A113</f>
        <v>Guatemala</v>
      </c>
    </row>
    <row r="114" ht="13.5" customHeight="1">
      <c r="A114" s="16">
        <f t="shared" si="1"/>
        <v>113</v>
      </c>
      <c r="B114" s="11" t="str">
        <f>'GDP Source - Filtered'!E114</f>
        <v>Uzbekistan</v>
      </c>
      <c r="C114" s="11" t="str">
        <f>'GDP Source - Filtered'!B114</f>
        <v>UZB</v>
      </c>
      <c r="D114" s="13">
        <f>'GDP Source - Filtered'!D114</f>
        <v>4477.907455</v>
      </c>
      <c r="E114" s="17">
        <f t="shared" si="2"/>
        <v>8.40691113</v>
      </c>
      <c r="F114" s="17">
        <f>Parameters!$B$5</f>
        <v>5.593598707</v>
      </c>
      <c r="G114" s="17">
        <f>Parameters!$B$6</f>
        <v>11.66576274</v>
      </c>
      <c r="H114" s="12">
        <f t="shared" si="3"/>
        <v>46.33129818</v>
      </c>
      <c r="I114" s="12">
        <f>'GDP Source - Filtered'!F114</f>
        <v>86.83346832</v>
      </c>
      <c r="J114" s="11" t="str">
        <f>'GDP Source - Filtered'!A114</f>
        <v>Uzbekistan</v>
      </c>
    </row>
    <row r="115" ht="13.5" customHeight="1">
      <c r="A115" s="16">
        <f t="shared" si="1"/>
        <v>114</v>
      </c>
      <c r="B115" s="11" t="str">
        <f>'GDP Source - Filtered'!E115</f>
        <v>Jordan</v>
      </c>
      <c r="C115" s="11" t="str">
        <f>'GDP Source - Filtered'!B115</f>
        <v>JOR</v>
      </c>
      <c r="D115" s="13">
        <f>'GDP Source - Filtered'!D115</f>
        <v>4441.039749</v>
      </c>
      <c r="E115" s="17">
        <f t="shared" si="2"/>
        <v>8.398643806</v>
      </c>
      <c r="F115" s="17">
        <f>Parameters!$B$5</f>
        <v>5.593598707</v>
      </c>
      <c r="G115" s="17">
        <f>Parameters!$B$6</f>
        <v>11.66576274</v>
      </c>
      <c r="H115" s="12">
        <f t="shared" si="3"/>
        <v>46.19514697</v>
      </c>
      <c r="I115" s="12">
        <f>'GDP Source - Filtered'!F115</f>
        <v>42.39508878</v>
      </c>
      <c r="J115" s="11" t="str">
        <f>'GDP Source - Filtered'!A115</f>
        <v>Jordan</v>
      </c>
    </row>
    <row r="116" ht="13.5" customHeight="1">
      <c r="A116" s="16">
        <f t="shared" si="1"/>
        <v>115</v>
      </c>
      <c r="B116" s="11" t="str">
        <f>'GDP Source - Filtered'!E116</f>
        <v>Cabo Verde</v>
      </c>
      <c r="C116" s="11" t="str">
        <f>'GDP Source - Filtered'!B116</f>
        <v>CPV</v>
      </c>
      <c r="D116" s="13">
        <f>'GDP Source - Filtered'!D116</f>
        <v>4438.387419</v>
      </c>
      <c r="E116" s="17">
        <f t="shared" si="2"/>
        <v>8.398046396</v>
      </c>
      <c r="F116" s="17">
        <f>Parameters!$B$5</f>
        <v>5.593598707</v>
      </c>
      <c r="G116" s="17">
        <f>Parameters!$B$6</f>
        <v>11.66576274</v>
      </c>
      <c r="H116" s="12">
        <f t="shared" si="3"/>
        <v>46.18530847</v>
      </c>
      <c r="I116" s="12">
        <f>'GDP Source - Filtered'!F116</f>
        <v>47.82125882</v>
      </c>
      <c r="J116" s="11" t="str">
        <f>'GDP Source - Filtered'!A116</f>
        <v>Cabo Verde</v>
      </c>
    </row>
    <row r="117" ht="13.5" customHeight="1">
      <c r="A117" s="16">
        <f t="shared" si="1"/>
        <v>116</v>
      </c>
      <c r="B117" s="11" t="str">
        <f>'GDP Source - Filtered'!E117</f>
        <v>Indonesia</v>
      </c>
      <c r="C117" s="11" t="str">
        <f>'GDP Source - Filtered'!B117</f>
        <v>IDN</v>
      </c>
      <c r="D117" s="13">
        <f>'GDP Source - Filtered'!D117</f>
        <v>4367.947418</v>
      </c>
      <c r="E117" s="17">
        <f t="shared" si="2"/>
        <v>8.382048479</v>
      </c>
      <c r="F117" s="17">
        <f>Parameters!$B$5</f>
        <v>5.593598707</v>
      </c>
      <c r="G117" s="17">
        <f>Parameters!$B$6</f>
        <v>11.66576274</v>
      </c>
      <c r="H117" s="12">
        <f t="shared" si="3"/>
        <v>45.92184529</v>
      </c>
      <c r="I117" s="12">
        <f>'GDP Source - Filtered'!F117</f>
        <v>100</v>
      </c>
      <c r="J117" s="11" t="str">
        <f>'GDP Source - Filtered'!A117</f>
        <v>Indonesia</v>
      </c>
    </row>
    <row r="118" ht="13.5" customHeight="1">
      <c r="A118" s="16">
        <f t="shared" si="1"/>
        <v>117</v>
      </c>
      <c r="B118" s="11" t="str">
        <f>'GDP Source - Filtered'!E118</f>
        <v>Sri Lanka</v>
      </c>
      <c r="C118" s="11" t="str">
        <f>'GDP Source - Filtered'!B118</f>
        <v>LKA</v>
      </c>
      <c r="D118" s="13">
        <f>'GDP Source - Filtered'!D118</f>
        <v>4198.745137</v>
      </c>
      <c r="E118" s="17">
        <f t="shared" si="2"/>
        <v>8.342540983</v>
      </c>
      <c r="F118" s="17">
        <f>Parameters!$B$5</f>
        <v>5.593598707</v>
      </c>
      <c r="G118" s="17">
        <f>Parameters!$B$6</f>
        <v>11.66576274</v>
      </c>
      <c r="H118" s="12">
        <f t="shared" si="3"/>
        <v>45.27121239</v>
      </c>
      <c r="I118" s="12">
        <f>'GDP Source - Filtered'!F118</f>
        <v>50.4880541</v>
      </c>
      <c r="J118" s="11" t="str">
        <f>'GDP Source - Filtered'!A118</f>
        <v>Sri Lanka</v>
      </c>
    </row>
    <row r="119" ht="13.5" customHeight="1">
      <c r="A119" s="16">
        <f t="shared" si="1"/>
        <v>118</v>
      </c>
      <c r="B119" s="11" t="str">
        <f>'GDP Source - Filtered'!E119</f>
        <v>Iraq</v>
      </c>
      <c r="C119" s="11" t="str">
        <f>'GDP Source - Filtered'!B119</f>
        <v>IRQ</v>
      </c>
      <c r="D119" s="13">
        <f>'GDP Source - Filtered'!D119</f>
        <v>4180.296195</v>
      </c>
      <c r="E119" s="17">
        <f t="shared" si="2"/>
        <v>8.338137383</v>
      </c>
      <c r="F119" s="17">
        <f>Parameters!$B$5</f>
        <v>5.593598707</v>
      </c>
      <c r="G119" s="17">
        <f>Parameters!$B$6</f>
        <v>11.66576274</v>
      </c>
      <c r="H119" s="12">
        <f t="shared" si="3"/>
        <v>45.1986913</v>
      </c>
      <c r="I119" s="12">
        <f>'GDP Source - Filtered'!F119</f>
        <v>100</v>
      </c>
      <c r="J119" s="11" t="str">
        <f>'GDP Source - Filtered'!A119</f>
        <v>Iraq</v>
      </c>
    </row>
    <row r="120" ht="13.5" customHeight="1">
      <c r="A120" s="16">
        <f t="shared" si="1"/>
        <v>119</v>
      </c>
      <c r="B120" s="11" t="str">
        <f>'GDP Source - Filtered'!E120</f>
        <v>Egypt</v>
      </c>
      <c r="C120" s="11" t="str">
        <f>'GDP Source - Filtered'!B120</f>
        <v>EGY</v>
      </c>
      <c r="D120" s="13">
        <f>'GDP Source - Filtered'!D120</f>
        <v>4137.609292</v>
      </c>
      <c r="E120" s="17">
        <f t="shared" si="2"/>
        <v>8.327873434</v>
      </c>
      <c r="F120" s="17">
        <f>Parameters!$B$5</f>
        <v>5.593598707</v>
      </c>
      <c r="G120" s="17">
        <f>Parameters!$B$6</f>
        <v>11.66576274</v>
      </c>
      <c r="H120" s="12">
        <f t="shared" si="3"/>
        <v>45.02965851</v>
      </c>
      <c r="I120" s="12">
        <f>'GDP Source - Filtered'!F120</f>
        <v>83.96597991</v>
      </c>
      <c r="J120" s="11" t="str">
        <f>'GDP Source - Filtered'!A120</f>
        <v>Egypt, Arab Rep.</v>
      </c>
    </row>
    <row r="121" ht="13.5" customHeight="1">
      <c r="A121" s="16">
        <f t="shared" si="1"/>
        <v>120</v>
      </c>
      <c r="B121" s="11" t="str">
        <f>'GDP Source - Filtered'!E121</f>
        <v>Namibia</v>
      </c>
      <c r="C121" s="11" t="str">
        <f>'GDP Source - Filtered'!B121</f>
        <v>NAM</v>
      </c>
      <c r="D121" s="13">
        <f>'GDP Source - Filtered'!D121</f>
        <v>4032.401507</v>
      </c>
      <c r="E121" s="17">
        <f t="shared" si="2"/>
        <v>8.302117385</v>
      </c>
      <c r="F121" s="17">
        <f>Parameters!$B$5</f>
        <v>5.593598707</v>
      </c>
      <c r="G121" s="17">
        <f>Parameters!$B$6</f>
        <v>11.66576274</v>
      </c>
      <c r="H121" s="12">
        <f t="shared" si="3"/>
        <v>44.6054926</v>
      </c>
      <c r="I121" s="12">
        <f>'GDP Source - Filtered'!F121</f>
        <v>51.37610094</v>
      </c>
      <c r="J121" s="11" t="str">
        <f>'GDP Source - Filtered'!A121</f>
        <v>Namibia</v>
      </c>
    </row>
    <row r="122" ht="13.5" customHeight="1">
      <c r="A122" s="16">
        <f t="shared" si="1"/>
        <v>121</v>
      </c>
      <c r="B122" s="11" t="str">
        <f>'GDP Source - Filtered'!E122</f>
        <v>Viet Nam</v>
      </c>
      <c r="C122" s="11" t="str">
        <f>'GDP Source - Filtered'!B122</f>
        <v>VNM</v>
      </c>
      <c r="D122" s="13">
        <f>'GDP Source - Filtered'!D122</f>
        <v>4012.507799</v>
      </c>
      <c r="E122" s="17">
        <f t="shared" si="2"/>
        <v>8.297171711</v>
      </c>
      <c r="F122" s="17">
        <f>Parameters!$B$5</f>
        <v>5.593598707</v>
      </c>
      <c r="G122" s="17">
        <f>Parameters!$B$6</f>
        <v>11.66576274</v>
      </c>
      <c r="H122" s="12">
        <f t="shared" si="3"/>
        <v>44.52404431</v>
      </c>
      <c r="I122" s="12">
        <f>'GDP Source - Filtered'!F122</f>
        <v>75.8678582</v>
      </c>
      <c r="J122" s="11" t="str">
        <f>'GDP Source - Filtered'!A122</f>
        <v>Viet Nam</v>
      </c>
    </row>
    <row r="123" ht="13.5" customHeight="1">
      <c r="A123" s="16">
        <f t="shared" si="1"/>
        <v>122</v>
      </c>
      <c r="B123" s="11" t="str">
        <f>'GDP Source - Filtered'!E123</f>
        <v>Tunisia</v>
      </c>
      <c r="C123" s="11" t="str">
        <f>'GDP Source - Filtered'!B123</f>
        <v>TUN</v>
      </c>
      <c r="D123" s="13">
        <f>'GDP Source - Filtered'!D123</f>
        <v>4006.205883</v>
      </c>
      <c r="E123" s="17">
        <f t="shared" si="2"/>
        <v>8.295599909</v>
      </c>
      <c r="F123" s="17">
        <f>Parameters!$B$5</f>
        <v>5.593598707</v>
      </c>
      <c r="G123" s="17">
        <f>Parameters!$B$6</f>
        <v>11.66576274</v>
      </c>
      <c r="H123" s="12">
        <f t="shared" si="3"/>
        <v>44.49815893</v>
      </c>
      <c r="I123" s="12">
        <f>'GDP Source - Filtered'!F123</f>
        <v>53.08588205</v>
      </c>
      <c r="J123" s="11" t="str">
        <f>'GDP Source - Filtered'!A123</f>
        <v>Tunisia</v>
      </c>
    </row>
    <row r="124" ht="13.5" customHeight="1">
      <c r="A124" s="16">
        <f t="shared" si="1"/>
        <v>123</v>
      </c>
      <c r="B124" s="11" t="str">
        <f>'GDP Source - Filtered'!E124</f>
        <v>Philippines</v>
      </c>
      <c r="C124" s="11" t="str">
        <f>'GDP Source - Filtered'!B124</f>
        <v>PHL</v>
      </c>
      <c r="D124" s="13">
        <f>'GDP Source - Filtered'!D124</f>
        <v>3926.149009</v>
      </c>
      <c r="E124" s="17">
        <f t="shared" si="2"/>
        <v>8.275414329</v>
      </c>
      <c r="F124" s="17">
        <f>Parameters!$B$5</f>
        <v>5.593598707</v>
      </c>
      <c r="G124" s="17">
        <f>Parameters!$B$6</f>
        <v>11.66576274</v>
      </c>
      <c r="H124" s="12">
        <f t="shared" si="3"/>
        <v>44.16573083</v>
      </c>
      <c r="I124" s="12">
        <f>'GDP Source - Filtered'!F124</f>
        <v>54.57421121</v>
      </c>
      <c r="J124" s="11" t="str">
        <f>'GDP Source - Filtered'!A124</f>
        <v>Philippines</v>
      </c>
    </row>
    <row r="125" ht="13.5" customHeight="1">
      <c r="A125" s="16">
        <f t="shared" si="1"/>
        <v>124</v>
      </c>
      <c r="B125" s="11" t="str">
        <f>'GDP Source - Filtered'!E125</f>
        <v>Eswatini</v>
      </c>
      <c r="C125" s="11" t="str">
        <f>'GDP Source - Filtered'!B125</f>
        <v>SWZ</v>
      </c>
      <c r="D125" s="13">
        <f>'GDP Source - Filtered'!D125</f>
        <v>3866.371279</v>
      </c>
      <c r="E125" s="17">
        <f t="shared" si="2"/>
        <v>8.260071692</v>
      </c>
      <c r="F125" s="17">
        <f>Parameters!$B$5</f>
        <v>5.593598707</v>
      </c>
      <c r="G125" s="17">
        <f>Parameters!$B$6</f>
        <v>11.66576274</v>
      </c>
      <c r="H125" s="12">
        <f t="shared" si="3"/>
        <v>43.91305919</v>
      </c>
      <c r="I125" s="12">
        <f>'GDP Source - Filtered'!F125</f>
        <v>61.99609815</v>
      </c>
      <c r="J125" s="11" t="str">
        <f>'GDP Source - Filtered'!A125</f>
        <v>Eswatini</v>
      </c>
    </row>
    <row r="126" ht="13.5" customHeight="1">
      <c r="A126" s="16">
        <f t="shared" si="1"/>
        <v>125</v>
      </c>
      <c r="B126" s="11" t="str">
        <f>'GDP Source - Filtered'!E126</f>
        <v>Rep. of Moldova</v>
      </c>
      <c r="C126" s="11" t="str">
        <f>'GDP Source - Filtered'!B126</f>
        <v>MDA</v>
      </c>
      <c r="D126" s="13">
        <f>'GDP Source - Filtered'!D126</f>
        <v>3855.569404</v>
      </c>
      <c r="E126" s="17">
        <f t="shared" si="2"/>
        <v>8.25727398</v>
      </c>
      <c r="F126" s="17">
        <f>Parameters!$B$5</f>
        <v>5.593598707</v>
      </c>
      <c r="G126" s="17">
        <f>Parameters!$B$6</f>
        <v>11.66576274</v>
      </c>
      <c r="H126" s="12">
        <f t="shared" si="3"/>
        <v>43.86698481</v>
      </c>
      <c r="I126" s="12">
        <f>'GDP Source - Filtered'!F126</f>
        <v>37.58824669</v>
      </c>
      <c r="J126" s="11" t="str">
        <f>'GDP Source - Filtered'!A126</f>
        <v>Moldova</v>
      </c>
    </row>
    <row r="127" ht="13.5" customHeight="1">
      <c r="A127" s="16">
        <f t="shared" si="1"/>
        <v>126</v>
      </c>
      <c r="B127" s="11" t="str">
        <f>'GDP Source - Filtered'!E127</f>
        <v>Bhutan</v>
      </c>
      <c r="C127" s="11" t="str">
        <f>'GDP Source - Filtered'!B127</f>
        <v>BTN</v>
      </c>
      <c r="D127" s="13">
        <f>'GDP Source - Filtered'!D127</f>
        <v>3717.210531</v>
      </c>
      <c r="E127" s="17">
        <f t="shared" si="2"/>
        <v>8.220728809</v>
      </c>
      <c r="F127" s="17">
        <f>Parameters!$B$5</f>
        <v>5.593598707</v>
      </c>
      <c r="G127" s="17">
        <f>Parameters!$B$6</f>
        <v>11.66576274</v>
      </c>
      <c r="H127" s="12">
        <f t="shared" si="3"/>
        <v>43.26513724</v>
      </c>
      <c r="I127" s="12">
        <f>'GDP Source - Filtered'!F127</f>
        <v>76.48291967</v>
      </c>
      <c r="J127" s="11" t="str">
        <f>'GDP Source - Filtered'!A127</f>
        <v>Bhutan</v>
      </c>
    </row>
    <row r="128" ht="13.5" customHeight="1">
      <c r="A128" s="16">
        <f t="shared" si="1"/>
        <v>127</v>
      </c>
      <c r="B128" s="11" t="str">
        <f>'GDP Source - Filtered'!E128</f>
        <v>Morocco</v>
      </c>
      <c r="C128" s="11" t="str">
        <f>'GDP Source - Filtered'!B128</f>
        <v>MAR</v>
      </c>
      <c r="D128" s="13">
        <f>'GDP Source - Filtered'!D128</f>
        <v>3516.154053</v>
      </c>
      <c r="E128" s="17">
        <f t="shared" si="2"/>
        <v>8.165123073</v>
      </c>
      <c r="F128" s="17">
        <f>Parameters!$B$5</f>
        <v>5.593598707</v>
      </c>
      <c r="G128" s="17">
        <f>Parameters!$B$6</f>
        <v>11.66576274</v>
      </c>
      <c r="H128" s="12">
        <f t="shared" si="3"/>
        <v>42.34938899</v>
      </c>
      <c r="I128" s="12">
        <f>'GDP Source - Filtered'!F128</f>
        <v>44.1237368</v>
      </c>
      <c r="J128" s="11" t="str">
        <f>'GDP Source - Filtered'!A128</f>
        <v>Morocco</v>
      </c>
    </row>
    <row r="129" ht="13.5" customHeight="1">
      <c r="A129" s="16">
        <f t="shared" si="1"/>
        <v>128</v>
      </c>
      <c r="B129" s="11" t="str">
        <f>'GDP Source - Filtered'!E129</f>
        <v>Djibouti</v>
      </c>
      <c r="C129" s="11" t="str">
        <f>'GDP Source - Filtered'!B129</f>
        <v>DJI</v>
      </c>
      <c r="D129" s="13">
        <f>'GDP Source - Filtered'!D129</f>
        <v>3290.424821</v>
      </c>
      <c r="E129" s="17">
        <f t="shared" si="2"/>
        <v>8.09877196</v>
      </c>
      <c r="F129" s="17">
        <f>Parameters!$B$5</f>
        <v>5.593598707</v>
      </c>
      <c r="G129" s="17">
        <f>Parameters!$B$6</f>
        <v>11.66576274</v>
      </c>
      <c r="H129" s="12">
        <f t="shared" si="3"/>
        <v>41.2566795</v>
      </c>
      <c r="I129" s="12">
        <f>'GDP Source - Filtered'!F129</f>
        <v>29.37810729</v>
      </c>
      <c r="J129" s="11" t="str">
        <f>'GDP Source - Filtered'!A129</f>
        <v>Djibouti</v>
      </c>
    </row>
    <row r="130" ht="13.5" customHeight="1">
      <c r="A130" s="16">
        <f t="shared" si="1"/>
        <v>129</v>
      </c>
      <c r="B130" s="11" t="str">
        <f>'GDP Source - Filtered'!E130</f>
        <v>Vanuatu</v>
      </c>
      <c r="C130" s="11" t="str">
        <f>'GDP Source - Filtered'!B130</f>
        <v>VUT</v>
      </c>
      <c r="D130" s="13">
        <f>'GDP Source - Filtered'!D130</f>
        <v>3223.85238</v>
      </c>
      <c r="E130" s="17">
        <f t="shared" si="2"/>
        <v>8.078332315</v>
      </c>
      <c r="F130" s="17">
        <f>Parameters!$B$5</f>
        <v>5.593598707</v>
      </c>
      <c r="G130" s="17">
        <f>Parameters!$B$6</f>
        <v>11.66576274</v>
      </c>
      <c r="H130" s="12">
        <f t="shared" si="3"/>
        <v>40.92006729</v>
      </c>
      <c r="I130" s="12">
        <f>'GDP Source - Filtered'!F130</f>
        <v>44.40863157</v>
      </c>
      <c r="J130" s="11" t="str">
        <f>'GDP Source - Filtered'!A130</f>
        <v>Vanuatu</v>
      </c>
    </row>
    <row r="131" ht="13.5" customHeight="1">
      <c r="A131" s="16">
        <f t="shared" si="1"/>
        <v>130</v>
      </c>
      <c r="B131" s="11" t="str">
        <f>'GDP Source - Filtered'!E131</f>
        <v>Bolivia (Plurinational State of)</v>
      </c>
      <c r="C131" s="11" t="str">
        <f>'GDP Source - Filtered'!B131</f>
        <v>BOL</v>
      </c>
      <c r="D131" s="13">
        <f>'GDP Source - Filtered'!D131</f>
        <v>3045.614766</v>
      </c>
      <c r="E131" s="17">
        <f t="shared" si="2"/>
        <v>8.021458053</v>
      </c>
      <c r="F131" s="17">
        <f>Parameters!$B$5</f>
        <v>5.593598707</v>
      </c>
      <c r="G131" s="17">
        <f>Parameters!$B$6</f>
        <v>11.66576274</v>
      </c>
      <c r="H131" s="12">
        <f t="shared" si="3"/>
        <v>39.98342821</v>
      </c>
      <c r="I131" s="12">
        <f>'GDP Source - Filtered'!F131</f>
        <v>100</v>
      </c>
      <c r="J131" s="11" t="str">
        <f>'GDP Source - Filtered'!A131</f>
        <v>Bolivia</v>
      </c>
    </row>
    <row r="132" ht="13.5" customHeight="1">
      <c r="A132" s="16">
        <f t="shared" si="1"/>
        <v>131</v>
      </c>
      <c r="B132" s="11" t="str">
        <f>'GDP Source - Filtered'!E132</f>
        <v>FS Micronesia</v>
      </c>
      <c r="C132" s="11" t="str">
        <f>'GDP Source - Filtered'!B132</f>
        <v>FSM</v>
      </c>
      <c r="D132" s="13">
        <f>'GDP Source - Filtered'!D132</f>
        <v>3001.796697</v>
      </c>
      <c r="E132" s="17">
        <f t="shared" si="2"/>
        <v>8.006966287</v>
      </c>
      <c r="F132" s="17">
        <f>Parameters!$B$5</f>
        <v>5.593598707</v>
      </c>
      <c r="G132" s="17">
        <f>Parameters!$B$6</f>
        <v>11.66576274</v>
      </c>
      <c r="H132" s="12">
        <f t="shared" si="3"/>
        <v>39.74476921</v>
      </c>
      <c r="I132" s="12">
        <f>'GDP Source - Filtered'!F132</f>
        <v>48.50097568</v>
      </c>
      <c r="J132" s="11" t="str">
        <f>'GDP Source - Filtered'!A132</f>
        <v>Micronesia, Fed. Sts.</v>
      </c>
    </row>
    <row r="133" ht="13.5" customHeight="1">
      <c r="A133" s="16">
        <f t="shared" si="1"/>
        <v>132</v>
      </c>
      <c r="B133" s="11" t="str">
        <f>'GDP Source - Filtered'!E133</f>
        <v>Angola</v>
      </c>
      <c r="C133" s="11" t="str">
        <f>'GDP Source - Filtered'!B133</f>
        <v>AGO</v>
      </c>
      <c r="D133" s="13">
        <f>'GDP Source - Filtered'!D133</f>
        <v>2798.593928</v>
      </c>
      <c r="E133" s="17">
        <f t="shared" si="2"/>
        <v>7.936872401</v>
      </c>
      <c r="F133" s="17">
        <f>Parameters!$B$5</f>
        <v>5.593598707</v>
      </c>
      <c r="G133" s="17">
        <f>Parameters!$B$6</f>
        <v>11.66576274</v>
      </c>
      <c r="H133" s="12">
        <f t="shared" si="3"/>
        <v>38.59042151</v>
      </c>
      <c r="I133" s="12">
        <f>'GDP Source - Filtered'!F133</f>
        <v>100</v>
      </c>
      <c r="J133" s="11" t="str">
        <f>'GDP Source - Filtered'!A133</f>
        <v>Angola</v>
      </c>
    </row>
    <row r="134" ht="13.5" customHeight="1">
      <c r="A134" s="16">
        <f t="shared" si="1"/>
        <v>133</v>
      </c>
      <c r="B134" s="11" t="str">
        <f>'GDP Source - Filtered'!E134</f>
        <v>Lao People's Dem. Rep.</v>
      </c>
      <c r="C134" s="11" t="str">
        <f>'GDP Source - Filtered'!B134</f>
        <v>LAO</v>
      </c>
      <c r="D134" s="13">
        <f>'GDP Source - Filtered'!D134</f>
        <v>2721.078107</v>
      </c>
      <c r="E134" s="17">
        <f t="shared" si="2"/>
        <v>7.908783444</v>
      </c>
      <c r="F134" s="17">
        <f>Parameters!$B$5</f>
        <v>5.593598707</v>
      </c>
      <c r="G134" s="17">
        <f>Parameters!$B$6</f>
        <v>11.66576274</v>
      </c>
      <c r="H134" s="12">
        <f t="shared" si="3"/>
        <v>38.12783589</v>
      </c>
      <c r="I134" s="12">
        <f>'GDP Source - Filtered'!F134</f>
        <v>100</v>
      </c>
      <c r="J134" s="11" t="str">
        <f>'GDP Source - Filtered'!A134</f>
        <v>Lao PDR</v>
      </c>
    </row>
    <row r="135" ht="13.5" customHeight="1">
      <c r="A135" s="16">
        <f t="shared" si="1"/>
        <v>134</v>
      </c>
      <c r="B135" s="11" t="str">
        <f>'GDP Source - Filtered'!E135</f>
        <v>Honduras</v>
      </c>
      <c r="C135" s="11" t="str">
        <f>'GDP Source - Filtered'!B135</f>
        <v>HND</v>
      </c>
      <c r="D135" s="13">
        <f>'GDP Source - Filtered'!D135</f>
        <v>2575.320812</v>
      </c>
      <c r="E135" s="17">
        <f t="shared" si="2"/>
        <v>7.853729393</v>
      </c>
      <c r="F135" s="17">
        <f>Parameters!$B$5</f>
        <v>5.593598707</v>
      </c>
      <c r="G135" s="17">
        <f>Parameters!$B$6</f>
        <v>11.66576274</v>
      </c>
      <c r="H135" s="12">
        <f t="shared" si="3"/>
        <v>37.22117311</v>
      </c>
      <c r="I135" s="12">
        <f>'GDP Source - Filtered'!F135</f>
        <v>37.78627063</v>
      </c>
      <c r="J135" s="11" t="str">
        <f>'GDP Source - Filtered'!A135</f>
        <v>Honduras</v>
      </c>
    </row>
    <row r="136" ht="13.5" customHeight="1">
      <c r="A136" s="16">
        <f t="shared" si="1"/>
        <v>135</v>
      </c>
      <c r="B136" s="11" t="str">
        <f>'GDP Source - Filtered'!E136</f>
        <v>Papua New Guinea</v>
      </c>
      <c r="C136" s="11" t="str">
        <f>'GDP Source - Filtered'!B136</f>
        <v>PNG</v>
      </c>
      <c r="D136" s="13">
        <f>'GDP Source - Filtered'!D136</f>
        <v>2566.910671</v>
      </c>
      <c r="E136" s="17">
        <f t="shared" si="2"/>
        <v>7.850458381</v>
      </c>
      <c r="F136" s="17">
        <f>Parameters!$B$5</f>
        <v>5.593598707</v>
      </c>
      <c r="G136" s="17">
        <f>Parameters!$B$6</f>
        <v>11.66576274</v>
      </c>
      <c r="H136" s="12">
        <f t="shared" si="3"/>
        <v>37.16730415</v>
      </c>
      <c r="I136" s="12">
        <f>'GDP Source - Filtered'!F136</f>
        <v>100</v>
      </c>
      <c r="J136" s="11" t="str">
        <f>'GDP Source - Filtered'!A136</f>
        <v>Papua New Guinea</v>
      </c>
    </row>
    <row r="137" ht="13.5" customHeight="1">
      <c r="A137" s="16">
        <f t="shared" si="1"/>
        <v>136</v>
      </c>
      <c r="B137" s="11" t="str">
        <f>'GDP Source - Filtered'!E137</f>
        <v>CÃ´te d'Ivoire</v>
      </c>
      <c r="C137" s="11" t="str">
        <f>'GDP Source - Filtered'!B137</f>
        <v>CIV</v>
      </c>
      <c r="D137" s="13">
        <f>'GDP Source - Filtered'!D137</f>
        <v>2395.65917</v>
      </c>
      <c r="E137" s="17">
        <f t="shared" si="2"/>
        <v>7.7814137</v>
      </c>
      <c r="F137" s="17">
        <f>Parameters!$B$5</f>
        <v>5.593598707</v>
      </c>
      <c r="G137" s="17">
        <f>Parameters!$B$6</f>
        <v>11.66576274</v>
      </c>
      <c r="H137" s="12">
        <f t="shared" si="3"/>
        <v>36.03023537</v>
      </c>
      <c r="I137" s="12">
        <f>'GDP Source - Filtered'!F137</f>
        <v>76.87986213</v>
      </c>
      <c r="J137" s="11" t="str">
        <f>'GDP Source - Filtered'!A137</f>
        <v>Cote d'Ivoire</v>
      </c>
    </row>
    <row r="138" ht="13.5" customHeight="1">
      <c r="A138" s="16">
        <f t="shared" si="1"/>
        <v>137</v>
      </c>
      <c r="B138" s="11" t="str">
        <f>'GDP Source - Filtered'!E138</f>
        <v>India</v>
      </c>
      <c r="C138" s="11" t="str">
        <f>'GDP Source - Filtered'!B138</f>
        <v>IND</v>
      </c>
      <c r="D138" s="13">
        <f>'GDP Source - Filtered'!D138</f>
        <v>2366.832891</v>
      </c>
      <c r="E138" s="17">
        <f t="shared" si="2"/>
        <v>7.769308008</v>
      </c>
      <c r="F138" s="17">
        <f>Parameters!$B$5</f>
        <v>5.593598707</v>
      </c>
      <c r="G138" s="17">
        <f>Parameters!$B$6</f>
        <v>11.66576274</v>
      </c>
      <c r="H138" s="12">
        <f t="shared" si="3"/>
        <v>35.83087165</v>
      </c>
      <c r="I138" s="12">
        <f>'GDP Source - Filtered'!F138</f>
        <v>75.52251518</v>
      </c>
      <c r="J138" s="11" t="str">
        <f>'GDP Source - Filtered'!A138</f>
        <v>India</v>
      </c>
    </row>
    <row r="139" ht="13.5" customHeight="1">
      <c r="A139" s="16">
        <f t="shared" si="1"/>
        <v>138</v>
      </c>
      <c r="B139" s="11" t="str">
        <f>'GDP Source - Filtered'!E139</f>
        <v>Nigeria</v>
      </c>
      <c r="C139" s="11" t="str">
        <f>'GDP Source - Filtered'!B139</f>
        <v>NGA</v>
      </c>
      <c r="D139" s="13">
        <f>'GDP Source - Filtered'!D139</f>
        <v>2324.597024</v>
      </c>
      <c r="E139" s="17">
        <f t="shared" si="2"/>
        <v>7.75130198</v>
      </c>
      <c r="F139" s="17">
        <f>Parameters!$B$5</f>
        <v>5.593598707</v>
      </c>
      <c r="G139" s="17">
        <f>Parameters!$B$6</f>
        <v>11.66576274</v>
      </c>
      <c r="H139" s="12">
        <f t="shared" si="3"/>
        <v>35.53433771</v>
      </c>
      <c r="I139" s="12">
        <f>'GDP Source - Filtered'!F139</f>
        <v>100</v>
      </c>
      <c r="J139" s="11" t="str">
        <f>'GDP Source - Filtered'!A139</f>
        <v>Nigeria</v>
      </c>
    </row>
    <row r="140" ht="13.5" customHeight="1">
      <c r="A140" s="16">
        <f t="shared" si="1"/>
        <v>139</v>
      </c>
      <c r="B140" s="11" t="str">
        <f>'GDP Source - Filtered'!E140</f>
        <v>Nicaragua</v>
      </c>
      <c r="C140" s="11" t="str">
        <f>'GDP Source - Filtered'!B140</f>
        <v>NIC</v>
      </c>
      <c r="D140" s="13">
        <f>'GDP Source - Filtered'!D140</f>
        <v>2290.31992</v>
      </c>
      <c r="E140" s="17">
        <f t="shared" si="2"/>
        <v>7.73644679</v>
      </c>
      <c r="F140" s="17">
        <f>Parameters!$B$5</f>
        <v>5.593598707</v>
      </c>
      <c r="G140" s="17">
        <f>Parameters!$B$6</f>
        <v>11.66576274</v>
      </c>
      <c r="H140" s="12">
        <f t="shared" si="3"/>
        <v>35.28969362</v>
      </c>
      <c r="I140" s="12">
        <f>'GDP Source - Filtered'!F140</f>
        <v>42.47541483</v>
      </c>
      <c r="J140" s="11" t="str">
        <f>'GDP Source - Filtered'!A140</f>
        <v>Nicaragua</v>
      </c>
    </row>
    <row r="141" ht="13.5" customHeight="1">
      <c r="A141" s="16">
        <f t="shared" si="1"/>
        <v>140</v>
      </c>
      <c r="B141" s="11" t="str">
        <f>'GDP Source - Filtered'!E141</f>
        <v>State of Palestine</v>
      </c>
      <c r="C141" s="11" t="str">
        <f>'GDP Source - Filtered'!B141</f>
        <v>PSE</v>
      </c>
      <c r="D141" s="13">
        <f>'GDP Source - Filtered'!D141</f>
        <v>2258.206987</v>
      </c>
      <c r="E141" s="17">
        <f t="shared" si="2"/>
        <v>7.722326409</v>
      </c>
      <c r="F141" s="17">
        <f>Parameters!$B$5</f>
        <v>5.593598707</v>
      </c>
      <c r="G141" s="17">
        <f>Parameters!$B$6</f>
        <v>11.66576274</v>
      </c>
      <c r="H141" s="12">
        <f t="shared" si="3"/>
        <v>35.05715081</v>
      </c>
      <c r="I141" s="12">
        <f>'GDP Source - Filtered'!F141</f>
        <v>30.14521379</v>
      </c>
      <c r="J141" s="11" t="str">
        <f>'GDP Source - Filtered'!A141</f>
        <v>West Bank and Gaza</v>
      </c>
    </row>
    <row r="142" ht="13.5" customHeight="1">
      <c r="A142" s="16">
        <f t="shared" si="1"/>
        <v>141</v>
      </c>
      <c r="B142" s="11" t="str">
        <f>'GDP Source - Filtered'!E142</f>
        <v>Ukraine</v>
      </c>
      <c r="C142" s="11" t="str">
        <f>'GDP Source - Filtered'!B142</f>
        <v>UKR</v>
      </c>
      <c r="D142" s="13">
        <f>'GDP Source - Filtered'!D142</f>
        <v>2226.058105</v>
      </c>
      <c r="E142" s="17">
        <f t="shared" si="2"/>
        <v>7.707987634</v>
      </c>
      <c r="F142" s="17">
        <f>Parameters!$B$5</f>
        <v>5.593598707</v>
      </c>
      <c r="G142" s="17">
        <f>Parameters!$B$6</f>
        <v>11.66576274</v>
      </c>
      <c r="H142" s="12">
        <f t="shared" si="3"/>
        <v>34.82101136</v>
      </c>
      <c r="I142" s="12">
        <f>'GDP Source - Filtered'!F142</f>
        <v>84.66499445</v>
      </c>
      <c r="J142" s="11" t="str">
        <f>'GDP Source - Filtered'!A142</f>
        <v>Ukraine</v>
      </c>
    </row>
    <row r="143" ht="13.5" customHeight="1">
      <c r="A143" s="16">
        <f t="shared" si="1"/>
        <v>142</v>
      </c>
      <c r="B143" s="11" t="str">
        <f>'GDP Source - Filtered'!E143</f>
        <v>Cambodia</v>
      </c>
      <c r="C143" s="11" t="str">
        <f>'GDP Source - Filtered'!B143</f>
        <v>KHM</v>
      </c>
      <c r="D143" s="13">
        <f>'GDP Source - Filtered'!D143</f>
        <v>2183.556824</v>
      </c>
      <c r="E143" s="17">
        <f t="shared" si="2"/>
        <v>7.688710397</v>
      </c>
      <c r="F143" s="17">
        <f>Parameters!$B$5</f>
        <v>5.593598707</v>
      </c>
      <c r="G143" s="17">
        <f>Parameters!$B$6</f>
        <v>11.66576274</v>
      </c>
      <c r="H143" s="12">
        <f t="shared" si="3"/>
        <v>34.50354238</v>
      </c>
      <c r="I143" s="12">
        <f>'GDP Source - Filtered'!F143</f>
        <v>47.77427085</v>
      </c>
      <c r="J143" s="11" t="str">
        <f>'GDP Source - Filtered'!A143</f>
        <v>Cambodia</v>
      </c>
    </row>
    <row r="144" ht="13.5" customHeight="1">
      <c r="A144" s="16">
        <f t="shared" si="1"/>
        <v>143</v>
      </c>
      <c r="B144" s="11" t="str">
        <f>'GDP Source - Filtered'!E144</f>
        <v>Ghana</v>
      </c>
      <c r="C144" s="11" t="str">
        <f>'GDP Source - Filtered'!B144</f>
        <v>GHA</v>
      </c>
      <c r="D144" s="13">
        <f>'GDP Source - Filtered'!D144</f>
        <v>2173.003298</v>
      </c>
      <c r="E144" s="17">
        <f t="shared" si="2"/>
        <v>7.683865498</v>
      </c>
      <c r="F144" s="17">
        <f>Parameters!$B$5</f>
        <v>5.593598707</v>
      </c>
      <c r="G144" s="17">
        <f>Parameters!$B$6</f>
        <v>11.66576274</v>
      </c>
      <c r="H144" s="12">
        <f t="shared" si="3"/>
        <v>34.42375371</v>
      </c>
      <c r="I144" s="12">
        <f>'GDP Source - Filtered'!F144</f>
        <v>100</v>
      </c>
      <c r="J144" s="11" t="str">
        <f>'GDP Source - Filtered'!A144</f>
        <v>Ghana</v>
      </c>
    </row>
    <row r="145" ht="13.5" customHeight="1">
      <c r="A145" s="16">
        <f t="shared" si="1"/>
        <v>144</v>
      </c>
      <c r="B145" s="11" t="str">
        <f>'GDP Source - Filtered'!E145</f>
        <v>Kiribati</v>
      </c>
      <c r="C145" s="11" t="str">
        <f>'GDP Source - Filtered'!B145</f>
        <v>KIR</v>
      </c>
      <c r="D145" s="13">
        <f>'GDP Source - Filtered'!D145</f>
        <v>2052.812988</v>
      </c>
      <c r="E145" s="17">
        <f t="shared" si="2"/>
        <v>7.626966321</v>
      </c>
      <c r="F145" s="17">
        <f>Parameters!$B$5</f>
        <v>5.593598707</v>
      </c>
      <c r="G145" s="17">
        <f>Parameters!$B$6</f>
        <v>11.66576274</v>
      </c>
      <c r="H145" s="12">
        <f t="shared" si="3"/>
        <v>33.4867043</v>
      </c>
      <c r="I145" s="12">
        <f>'GDP Source - Filtered'!F145</f>
        <v>45.31746112</v>
      </c>
      <c r="J145" s="11" t="str">
        <f>'GDP Source - Filtered'!A145</f>
        <v>Kiribati</v>
      </c>
    </row>
    <row r="146" ht="13.5" customHeight="1">
      <c r="A146" s="16">
        <f t="shared" si="1"/>
        <v>145</v>
      </c>
      <c r="B146" s="11" t="str">
        <f>'GDP Source - Filtered'!E146</f>
        <v>Bangladesh</v>
      </c>
      <c r="C146" s="11" t="str">
        <f>'GDP Source - Filtered'!B146</f>
        <v>BGD</v>
      </c>
      <c r="D146" s="13">
        <f>'GDP Source - Filtered'!D146</f>
        <v>1941.278744</v>
      </c>
      <c r="E146" s="17">
        <f t="shared" si="2"/>
        <v>7.571102181</v>
      </c>
      <c r="F146" s="17">
        <f>Parameters!$B$5</f>
        <v>5.593598707</v>
      </c>
      <c r="G146" s="17">
        <f>Parameters!$B$6</f>
        <v>11.66576274</v>
      </c>
      <c r="H146" s="12">
        <f t="shared" si="3"/>
        <v>32.56670051</v>
      </c>
      <c r="I146" s="12">
        <f>'GDP Source - Filtered'!F146</f>
        <v>62.45194883</v>
      </c>
      <c r="J146" s="11" t="str">
        <f>'GDP Source - Filtered'!A146</f>
        <v>Bangladesh</v>
      </c>
    </row>
    <row r="147" ht="13.5" customHeight="1">
      <c r="A147" s="16">
        <f t="shared" si="1"/>
        <v>146</v>
      </c>
      <c r="B147" s="11" t="str">
        <f>'GDP Source - Filtered'!E147</f>
        <v>Kenya</v>
      </c>
      <c r="C147" s="11" t="str">
        <f>'GDP Source - Filtered'!B147</f>
        <v>KEN</v>
      </c>
      <c r="D147" s="13">
        <f>'GDP Source - Filtered'!D147</f>
        <v>1858.8765</v>
      </c>
      <c r="E147" s="17">
        <f t="shared" si="2"/>
        <v>7.527727552</v>
      </c>
      <c r="F147" s="17">
        <f>Parameters!$B$5</f>
        <v>5.593598707</v>
      </c>
      <c r="G147" s="17">
        <f>Parameters!$B$6</f>
        <v>11.66576274</v>
      </c>
      <c r="H147" s="12">
        <f t="shared" si="3"/>
        <v>31.85238138</v>
      </c>
      <c r="I147" s="12">
        <f>'GDP Source - Filtered'!F147</f>
        <v>46.48467116</v>
      </c>
      <c r="J147" s="11" t="str">
        <f>'GDP Source - Filtered'!A147</f>
        <v>Kenya</v>
      </c>
    </row>
    <row r="148" ht="13.5" customHeight="1">
      <c r="A148" s="16">
        <f t="shared" si="1"/>
        <v>147</v>
      </c>
      <c r="B148" s="11" t="str">
        <f>'GDP Source - Filtered'!E148</f>
        <v>Solomon Isds</v>
      </c>
      <c r="C148" s="11" t="str">
        <f>'GDP Source - Filtered'!B148</f>
        <v>SLB</v>
      </c>
      <c r="D148" s="13">
        <f>'GDP Source - Filtered'!D148</f>
        <v>1806.383673</v>
      </c>
      <c r="E148" s="17">
        <f t="shared" si="2"/>
        <v>7.499082155</v>
      </c>
      <c r="F148" s="17">
        <f>Parameters!$B$5</f>
        <v>5.593598707</v>
      </c>
      <c r="G148" s="17">
        <f>Parameters!$B$6</f>
        <v>11.66576274</v>
      </c>
      <c r="H148" s="12">
        <f t="shared" si="3"/>
        <v>31.38063198</v>
      </c>
      <c r="I148" s="12">
        <f>'GDP Source - Filtered'!F148</f>
        <v>36.93249196</v>
      </c>
      <c r="J148" s="11" t="str">
        <f>'GDP Source - Filtered'!A148</f>
        <v>Solomon Islands</v>
      </c>
    </row>
    <row r="149" ht="13.5" customHeight="1">
      <c r="A149" s="16">
        <f t="shared" si="1"/>
        <v>148</v>
      </c>
      <c r="B149" s="11" t="str">
        <f>'GDP Source - Filtered'!E149</f>
        <v>Mauritania</v>
      </c>
      <c r="C149" s="11" t="str">
        <f>'GDP Source - Filtered'!B149</f>
        <v>MRT</v>
      </c>
      <c r="D149" s="13">
        <f>'GDP Source - Filtered'!D149</f>
        <v>1692.841661</v>
      </c>
      <c r="E149" s="17">
        <f t="shared" si="2"/>
        <v>7.434163852</v>
      </c>
      <c r="F149" s="17">
        <f>Parameters!$B$5</f>
        <v>5.593598707</v>
      </c>
      <c r="G149" s="17">
        <f>Parameters!$B$6</f>
        <v>11.66576274</v>
      </c>
      <c r="H149" s="12">
        <f t="shared" si="3"/>
        <v>30.31151885</v>
      </c>
      <c r="I149" s="12">
        <f>'GDP Source - Filtered'!F149</f>
        <v>35.88700687</v>
      </c>
      <c r="J149" s="11" t="str">
        <f>'GDP Source - Filtered'!A149</f>
        <v>Mauritania</v>
      </c>
    </row>
    <row r="150" ht="13.5" customHeight="1">
      <c r="A150" s="16">
        <f t="shared" si="1"/>
        <v>149</v>
      </c>
      <c r="B150" s="11" t="str">
        <f>'GDP Source - Filtered'!E150</f>
        <v>Congo</v>
      </c>
      <c r="C150" s="11" t="str">
        <f>'GDP Source - Filtered'!B150</f>
        <v>COG</v>
      </c>
      <c r="D150" s="13">
        <f>'GDP Source - Filtered'!D150</f>
        <v>1671.726602</v>
      </c>
      <c r="E150" s="17">
        <f t="shared" si="2"/>
        <v>7.421612265</v>
      </c>
      <c r="F150" s="17">
        <f>Parameters!$B$5</f>
        <v>5.593598707</v>
      </c>
      <c r="G150" s="17">
        <f>Parameters!$B$6</f>
        <v>11.66576274</v>
      </c>
      <c r="H150" s="12">
        <f t="shared" si="3"/>
        <v>30.10481187</v>
      </c>
      <c r="I150" s="12">
        <f>'GDP Source - Filtered'!F150</f>
        <v>100</v>
      </c>
      <c r="J150" s="11" t="str">
        <f>'GDP Source - Filtered'!A150</f>
        <v>Congo, Rep.</v>
      </c>
    </row>
    <row r="151" ht="13.5" customHeight="1">
      <c r="A151" s="16">
        <f t="shared" si="1"/>
        <v>150</v>
      </c>
      <c r="B151" s="11" t="str">
        <f>'GDP Source - Filtered'!E151</f>
        <v>Pakistan</v>
      </c>
      <c r="C151" s="11" t="str">
        <f>'GDP Source - Filtered'!B151</f>
        <v>PAK</v>
      </c>
      <c r="D151" s="13">
        <f>'GDP Source - Filtered'!D151</f>
        <v>1635.087312</v>
      </c>
      <c r="E151" s="17">
        <f t="shared" si="2"/>
        <v>7.399451484</v>
      </c>
      <c r="F151" s="17">
        <f>Parameters!$B$5</f>
        <v>5.593598707</v>
      </c>
      <c r="G151" s="17">
        <f>Parameters!$B$6</f>
        <v>11.66576274</v>
      </c>
      <c r="H151" s="12">
        <f t="shared" si="3"/>
        <v>29.73985498</v>
      </c>
      <c r="I151" s="12">
        <f>'GDP Source - Filtered'!F151</f>
        <v>72.12161477</v>
      </c>
      <c r="J151" s="11" t="str">
        <f>'GDP Source - Filtered'!A151</f>
        <v>Pakistan</v>
      </c>
    </row>
    <row r="152" ht="13.5" customHeight="1">
      <c r="A152" s="16">
        <f t="shared" si="1"/>
        <v>151</v>
      </c>
      <c r="B152" s="11" t="str">
        <f>'GDP Source - Filtered'!E152</f>
        <v>Senegal</v>
      </c>
      <c r="C152" s="11" t="str">
        <f>'GDP Source - Filtered'!B152</f>
        <v>SEN</v>
      </c>
      <c r="D152" s="13">
        <f>'GDP Source - Filtered'!D152</f>
        <v>1517.618388</v>
      </c>
      <c r="E152" s="17">
        <f t="shared" si="2"/>
        <v>7.324897535</v>
      </c>
      <c r="F152" s="17">
        <f>Parameters!$B$5</f>
        <v>5.593598707</v>
      </c>
      <c r="G152" s="17">
        <f>Parameters!$B$6</f>
        <v>11.66576274</v>
      </c>
      <c r="H152" s="12">
        <f t="shared" si="3"/>
        <v>28.51205631</v>
      </c>
      <c r="I152" s="12">
        <f>'GDP Source - Filtered'!F152</f>
        <v>44.38830936</v>
      </c>
      <c r="J152" s="11" t="str">
        <f>'GDP Source - Filtered'!A152</f>
        <v>Senegal</v>
      </c>
    </row>
    <row r="153" ht="13.5" customHeight="1">
      <c r="A153" s="16">
        <f t="shared" si="1"/>
        <v>152</v>
      </c>
      <c r="B153" s="11" t="str">
        <f>'GDP Source - Filtered'!E153</f>
        <v>Venezuela</v>
      </c>
      <c r="C153" s="11" t="str">
        <f>'GDP Source - Filtered'!B153</f>
        <v>VEN</v>
      </c>
      <c r="D153" s="13">
        <f>'GDP Source - Filtered'!D153</f>
        <v>1501.222079</v>
      </c>
      <c r="E153" s="17">
        <f t="shared" si="2"/>
        <v>7.314034775</v>
      </c>
      <c r="F153" s="17">
        <f>Parameters!$B$5</f>
        <v>5.593598707</v>
      </c>
      <c r="G153" s="17">
        <f>Parameters!$B$6</f>
        <v>11.66576274</v>
      </c>
      <c r="H153" s="12">
        <f t="shared" si="3"/>
        <v>28.33316193</v>
      </c>
      <c r="I153" s="12">
        <f>'GDP Source - Filtered'!F153</f>
        <v>100</v>
      </c>
      <c r="J153" s="11" t="str">
        <f>'GDP Source - Filtered'!A153</f>
        <v>Venezuela, RB</v>
      </c>
    </row>
    <row r="154" ht="13.5" customHeight="1">
      <c r="A154" s="16">
        <f t="shared" si="1"/>
        <v>153</v>
      </c>
      <c r="B154" s="11" t="str">
        <f>'GDP Source - Filtered'!E154</f>
        <v>Tajikistan</v>
      </c>
      <c r="C154" s="11" t="str">
        <f>'GDP Source - Filtered'!B154</f>
        <v>TJK</v>
      </c>
      <c r="D154" s="13">
        <f>'GDP Source - Filtered'!D154</f>
        <v>1496.338134</v>
      </c>
      <c r="E154" s="17">
        <f t="shared" si="2"/>
        <v>7.310776158</v>
      </c>
      <c r="F154" s="17">
        <f>Parameters!$B$5</f>
        <v>5.593598707</v>
      </c>
      <c r="G154" s="17">
        <f>Parameters!$B$6</f>
        <v>11.66576274</v>
      </c>
      <c r="H154" s="12">
        <f t="shared" si="3"/>
        <v>28.27949711</v>
      </c>
      <c r="I154" s="12">
        <f>'GDP Source - Filtered'!F154</f>
        <v>81.23051848</v>
      </c>
      <c r="J154" s="11" t="str">
        <f>'GDP Source - Filtered'!A154</f>
        <v>Tajikistan</v>
      </c>
    </row>
    <row r="155" ht="13.5" customHeight="1">
      <c r="A155" s="16">
        <f t="shared" si="1"/>
        <v>154</v>
      </c>
      <c r="B155" s="11" t="str">
        <f>'GDP Source - Filtered'!E155</f>
        <v>Cameroon</v>
      </c>
      <c r="C155" s="11" t="str">
        <f>'GDP Source - Filtered'!B155</f>
        <v>CMR</v>
      </c>
      <c r="D155" s="13">
        <f>'GDP Source - Filtered'!D155</f>
        <v>1480.730974</v>
      </c>
      <c r="E155" s="17">
        <f t="shared" si="2"/>
        <v>7.300291146</v>
      </c>
      <c r="F155" s="17">
        <f>Parameters!$B$5</f>
        <v>5.593598707</v>
      </c>
      <c r="G155" s="17">
        <f>Parameters!$B$6</f>
        <v>11.66576274</v>
      </c>
      <c r="H155" s="12">
        <f t="shared" si="3"/>
        <v>28.1068237</v>
      </c>
      <c r="I155" s="12">
        <f>'GDP Source - Filtered'!F155</f>
        <v>100</v>
      </c>
      <c r="J155" s="11" t="str">
        <f>'GDP Source - Filtered'!A155</f>
        <v>Cameroon</v>
      </c>
    </row>
    <row r="156" ht="13.5" customHeight="1">
      <c r="A156" s="16">
        <f t="shared" si="1"/>
        <v>155</v>
      </c>
      <c r="B156" s="11" t="str">
        <f>'GDP Source - Filtered'!E156</f>
        <v>Kyrgyzstan</v>
      </c>
      <c r="C156" s="11" t="str">
        <f>'GDP Source - Filtered'!B156</f>
        <v>KGZ</v>
      </c>
      <c r="D156" s="13">
        <f>'GDP Source - Filtered'!D156</f>
        <v>1423.586247</v>
      </c>
      <c r="E156" s="17">
        <f t="shared" si="2"/>
        <v>7.260934493</v>
      </c>
      <c r="F156" s="17">
        <f>Parameters!$B$5</f>
        <v>5.593598707</v>
      </c>
      <c r="G156" s="17">
        <f>Parameters!$B$6</f>
        <v>11.66576274</v>
      </c>
      <c r="H156" s="12">
        <f t="shared" si="3"/>
        <v>27.45867499</v>
      </c>
      <c r="I156" s="12">
        <f>'GDP Source - Filtered'!F156</f>
        <v>77.95894738</v>
      </c>
      <c r="J156" s="11" t="str">
        <f>'GDP Source - Filtered'!A156</f>
        <v>Kyrgyz Republic</v>
      </c>
    </row>
    <row r="157" ht="13.5" customHeight="1">
      <c r="A157" s="16">
        <f t="shared" si="1"/>
        <v>156</v>
      </c>
      <c r="B157" s="11" t="str">
        <f>'GDP Source - Filtered'!E157</f>
        <v>Zimbabwe</v>
      </c>
      <c r="C157" s="11" t="str">
        <f>'GDP Source - Filtered'!B157</f>
        <v>ZWE</v>
      </c>
      <c r="D157" s="13">
        <f>'GDP Source - Filtered'!D157</f>
        <v>1416.800655</v>
      </c>
      <c r="E157" s="17">
        <f t="shared" si="2"/>
        <v>7.256156549</v>
      </c>
      <c r="F157" s="17">
        <f>Parameters!$B$5</f>
        <v>5.593598707</v>
      </c>
      <c r="G157" s="17">
        <f>Parameters!$B$6</f>
        <v>11.66576274</v>
      </c>
      <c r="H157" s="12">
        <f t="shared" si="3"/>
        <v>27.37998897</v>
      </c>
      <c r="I157" s="12">
        <f>'GDP Source - Filtered'!F157</f>
        <v>81.87199027</v>
      </c>
      <c r="J157" s="11" t="str">
        <f>'GDP Source - Filtered'!A157</f>
        <v>Zimbabwe</v>
      </c>
    </row>
    <row r="158" ht="13.5" customHeight="1">
      <c r="A158" s="16">
        <f t="shared" si="1"/>
        <v>157</v>
      </c>
      <c r="B158" s="11" t="str">
        <f>'GDP Source - Filtered'!E158</f>
        <v>Comoros</v>
      </c>
      <c r="C158" s="11" t="str">
        <f>'GDP Source - Filtered'!B158</f>
        <v>COM</v>
      </c>
      <c r="D158" s="13">
        <f>'GDP Source - Filtered'!D158</f>
        <v>1402.526143</v>
      </c>
      <c r="E158" s="17">
        <f t="shared" si="2"/>
        <v>7.246030278</v>
      </c>
      <c r="F158" s="17">
        <f>Parameters!$B$5</f>
        <v>5.593598707</v>
      </c>
      <c r="G158" s="17">
        <f>Parameters!$B$6</f>
        <v>11.66576274</v>
      </c>
      <c r="H158" s="12">
        <f t="shared" si="3"/>
        <v>27.21322352</v>
      </c>
      <c r="I158" s="12">
        <f>'GDP Source - Filtered'!F158</f>
        <v>36.62629263</v>
      </c>
      <c r="J158" s="11" t="str">
        <f>'GDP Source - Filtered'!A158</f>
        <v>Comoros</v>
      </c>
    </row>
    <row r="159" ht="13.5" customHeight="1">
      <c r="A159" s="16">
        <f t="shared" si="1"/>
        <v>158</v>
      </c>
      <c r="B159" s="11" t="str">
        <f>'GDP Source - Filtered'!E159</f>
        <v>Sao Tome and Principe</v>
      </c>
      <c r="C159" s="11" t="str">
        <f>'GDP Source - Filtered'!B159</f>
        <v>STP</v>
      </c>
      <c r="D159" s="13">
        <f>'GDP Source - Filtered'!D159</f>
        <v>1373.270821</v>
      </c>
      <c r="E159" s="17">
        <f t="shared" si="2"/>
        <v>7.224950634</v>
      </c>
      <c r="F159" s="17">
        <f>Parameters!$B$5</f>
        <v>5.593598707</v>
      </c>
      <c r="G159" s="17">
        <f>Parameters!$B$6</f>
        <v>11.66576274</v>
      </c>
      <c r="H159" s="12">
        <f t="shared" si="3"/>
        <v>26.86607145</v>
      </c>
      <c r="I159" s="12">
        <f>'GDP Source - Filtered'!F159</f>
        <v>29.56361011</v>
      </c>
      <c r="J159" s="11" t="str">
        <f>'GDP Source - Filtered'!A159</f>
        <v>Sao Tome and Principe</v>
      </c>
    </row>
    <row r="160" ht="13.5" customHeight="1">
      <c r="A160" s="16">
        <f t="shared" si="1"/>
        <v>159</v>
      </c>
      <c r="B160" s="11" t="str">
        <f>'GDP Source - Filtered'!E160</f>
        <v>Zambia</v>
      </c>
      <c r="C160" s="11" t="str">
        <f>'GDP Source - Filtered'!B160</f>
        <v>ZMB</v>
      </c>
      <c r="D160" s="13">
        <f>'GDP Source - Filtered'!D160</f>
        <v>1343.389664</v>
      </c>
      <c r="E160" s="17">
        <f t="shared" si="2"/>
        <v>7.202951299</v>
      </c>
      <c r="F160" s="17">
        <f>Parameters!$B$5</f>
        <v>5.593598707</v>
      </c>
      <c r="G160" s="17">
        <f>Parameters!$B$6</f>
        <v>11.66576274</v>
      </c>
      <c r="H160" s="12">
        <f t="shared" si="3"/>
        <v>26.50377334</v>
      </c>
      <c r="I160" s="12">
        <f>'GDP Source - Filtered'!F160</f>
        <v>78.18868528</v>
      </c>
      <c r="J160" s="11" t="str">
        <f>'GDP Source - Filtered'!A160</f>
        <v>Zambia</v>
      </c>
    </row>
    <row r="161" ht="13.5" customHeight="1">
      <c r="A161" s="16">
        <f t="shared" si="1"/>
        <v>160</v>
      </c>
      <c r="B161" s="11" t="str">
        <f>'GDP Source - Filtered'!E161</f>
        <v>Benin</v>
      </c>
      <c r="C161" s="11" t="str">
        <f>'GDP Source - Filtered'!B161</f>
        <v>BEN</v>
      </c>
      <c r="D161" s="13">
        <f>'GDP Source - Filtered'!D161</f>
        <v>1324.783126</v>
      </c>
      <c r="E161" s="17">
        <f t="shared" si="2"/>
        <v>7.189004047</v>
      </c>
      <c r="F161" s="17">
        <f>Parameters!$B$5</f>
        <v>5.593598707</v>
      </c>
      <c r="G161" s="17">
        <f>Parameters!$B$6</f>
        <v>11.66576274</v>
      </c>
      <c r="H161" s="12">
        <f t="shared" si="3"/>
        <v>26.27408172</v>
      </c>
      <c r="I161" s="12">
        <f>'GDP Source - Filtered'!F161</f>
        <v>37.57388199</v>
      </c>
      <c r="J161" s="11" t="str">
        <f>'GDP Source - Filtered'!A161</f>
        <v>Benin</v>
      </c>
    </row>
    <row r="162" ht="13.5" customHeight="1">
      <c r="A162" s="16">
        <f t="shared" si="1"/>
        <v>161</v>
      </c>
      <c r="B162" s="11" t="str">
        <f>'GDP Source - Filtered'!E162</f>
        <v>Nepal</v>
      </c>
      <c r="C162" s="11" t="str">
        <f>'GDP Source - Filtered'!B162</f>
        <v>NPL</v>
      </c>
      <c r="D162" s="13">
        <f>'GDP Source - Filtered'!D162</f>
        <v>1179.954993</v>
      </c>
      <c r="E162" s="17">
        <f t="shared" si="2"/>
        <v>7.073231575</v>
      </c>
      <c r="F162" s="17">
        <f>Parameters!$B$5</f>
        <v>5.593598707</v>
      </c>
      <c r="G162" s="17">
        <f>Parameters!$B$6</f>
        <v>11.66576274</v>
      </c>
      <c r="H162" s="12">
        <f t="shared" si="3"/>
        <v>24.36747197</v>
      </c>
      <c r="I162" s="12">
        <f>'GDP Source - Filtered'!F162</f>
        <v>38.82028087</v>
      </c>
      <c r="J162" s="11" t="str">
        <f>'GDP Source - Filtered'!A162</f>
        <v>Nepal</v>
      </c>
    </row>
    <row r="163" ht="13.5" customHeight="1">
      <c r="A163" s="16">
        <f t="shared" si="1"/>
        <v>162</v>
      </c>
      <c r="B163" s="11" t="str">
        <f>'GDP Source - Filtered'!E163</f>
        <v>Myanmar</v>
      </c>
      <c r="C163" s="11" t="str">
        <f>'GDP Source - Filtered'!B163</f>
        <v>MMR</v>
      </c>
      <c r="D163" s="13">
        <f>'GDP Source - Filtered'!D163</f>
        <v>1158.479281</v>
      </c>
      <c r="E163" s="17">
        <f t="shared" si="2"/>
        <v>7.054863459</v>
      </c>
      <c r="F163" s="17">
        <f>Parameters!$B$5</f>
        <v>5.593598707</v>
      </c>
      <c r="G163" s="17">
        <f>Parameters!$B$6</f>
        <v>11.66576274</v>
      </c>
      <c r="H163" s="12">
        <f t="shared" si="3"/>
        <v>24.06497494</v>
      </c>
      <c r="I163" s="12">
        <f>'GDP Source - Filtered'!F163</f>
        <v>100</v>
      </c>
      <c r="J163" s="11" t="str">
        <f>'GDP Source - Filtered'!A163</f>
        <v>Myanmar</v>
      </c>
    </row>
    <row r="164" ht="13.5" customHeight="1">
      <c r="A164" s="16">
        <f t="shared" si="1"/>
        <v>163</v>
      </c>
      <c r="B164" s="11" t="str">
        <f>'GDP Source - Filtered'!E164</f>
        <v>Haiti</v>
      </c>
      <c r="C164" s="11" t="str">
        <f>'GDP Source - Filtered'!B164</f>
        <v>HTI</v>
      </c>
      <c r="D164" s="13">
        <f>'GDP Source - Filtered'!D164</f>
        <v>1154.688419</v>
      </c>
      <c r="E164" s="17">
        <f t="shared" si="2"/>
        <v>7.051585819</v>
      </c>
      <c r="F164" s="17">
        <f>Parameters!$B$5</f>
        <v>5.593598707</v>
      </c>
      <c r="G164" s="17">
        <f>Parameters!$B$6</f>
        <v>11.66576274</v>
      </c>
      <c r="H164" s="12">
        <f t="shared" si="3"/>
        <v>24.01099682</v>
      </c>
      <c r="I164" s="12">
        <f>'GDP Source - Filtered'!F164</f>
        <v>24.99728564</v>
      </c>
      <c r="J164" s="11" t="str">
        <f>'GDP Source - Filtered'!A164</f>
        <v>Haiti</v>
      </c>
    </row>
    <row r="165" ht="13.5" customHeight="1">
      <c r="A165" s="16">
        <f t="shared" si="1"/>
        <v>164</v>
      </c>
      <c r="B165" s="11" t="str">
        <f>'GDP Source - Filtered'!E165</f>
        <v>Timor-Leste</v>
      </c>
      <c r="C165" s="11" t="str">
        <f>'GDP Source - Filtered'!B165</f>
        <v>TLS</v>
      </c>
      <c r="D165" s="13">
        <f>'GDP Source - Filtered'!D165</f>
        <v>1149.21889</v>
      </c>
      <c r="E165" s="17">
        <f t="shared" si="2"/>
        <v>7.046837764</v>
      </c>
      <c r="F165" s="17">
        <f>Parameters!$B$5</f>
        <v>5.593598707</v>
      </c>
      <c r="G165" s="17">
        <f>Parameters!$B$6</f>
        <v>11.66576274</v>
      </c>
      <c r="H165" s="12">
        <f t="shared" si="3"/>
        <v>23.93280304</v>
      </c>
      <c r="I165" s="12">
        <f>'GDP Source - Filtered'!F165</f>
        <v>65.82680836</v>
      </c>
      <c r="J165" s="11" t="str">
        <f>'GDP Source - Filtered'!A165</f>
        <v>Timor-Leste</v>
      </c>
    </row>
    <row r="166" ht="13.5" customHeight="1">
      <c r="A166" s="16">
        <f t="shared" si="1"/>
        <v>165</v>
      </c>
      <c r="B166" s="11" t="str">
        <f>'GDP Source - Filtered'!E166</f>
        <v>Sierra Leone</v>
      </c>
      <c r="C166" s="11" t="str">
        <f>'GDP Source - Filtered'!B166</f>
        <v>SLE</v>
      </c>
      <c r="D166" s="13">
        <f>'GDP Source - Filtered'!D166</f>
        <v>1137.290056</v>
      </c>
      <c r="E166" s="17">
        <f t="shared" si="2"/>
        <v>7.036403568</v>
      </c>
      <c r="F166" s="17">
        <f>Parameters!$B$5</f>
        <v>5.593598707</v>
      </c>
      <c r="G166" s="17">
        <f>Parameters!$B$6</f>
        <v>11.66576274</v>
      </c>
      <c r="H166" s="12">
        <f t="shared" si="3"/>
        <v>23.76096649</v>
      </c>
      <c r="I166" s="12">
        <f>'GDP Source - Filtered'!F166</f>
        <v>39.8193127</v>
      </c>
      <c r="J166" s="11" t="str">
        <f>'GDP Source - Filtered'!A166</f>
        <v>Sierra Leone</v>
      </c>
    </row>
    <row r="167" ht="13.5" customHeight="1">
      <c r="A167" s="16">
        <f t="shared" si="1"/>
        <v>166</v>
      </c>
      <c r="B167" s="11" t="str">
        <f>'GDP Source - Filtered'!E167</f>
        <v>United Rep. of Tanzania</v>
      </c>
      <c r="C167" s="11" t="str">
        <f>'GDP Source - Filtered'!B167</f>
        <v>TZA</v>
      </c>
      <c r="D167" s="13">
        <f>'GDP Source - Filtered'!D167</f>
        <v>1120.77417</v>
      </c>
      <c r="E167" s="17">
        <f t="shared" si="2"/>
        <v>7.021774949</v>
      </c>
      <c r="F167" s="17">
        <f>Parameters!$B$5</f>
        <v>5.593598707</v>
      </c>
      <c r="G167" s="17">
        <f>Parameters!$B$6</f>
        <v>11.66576274</v>
      </c>
      <c r="H167" s="12">
        <f t="shared" si="3"/>
        <v>23.52005372</v>
      </c>
      <c r="I167" s="12">
        <f>'GDP Source - Filtered'!F167</f>
        <v>66.87616217</v>
      </c>
      <c r="J167" s="11" t="str">
        <f>'GDP Source - Filtered'!A167</f>
        <v>Tanzania</v>
      </c>
    </row>
    <row r="168" ht="13.5" customHeight="1">
      <c r="A168" s="16">
        <f t="shared" si="1"/>
        <v>167</v>
      </c>
      <c r="B168" s="11" t="str">
        <f>'GDP Source - Filtered'!E168</f>
        <v>Togo</v>
      </c>
      <c r="C168" s="11" t="str">
        <f>'GDP Source - Filtered'!B168</f>
        <v>TGO</v>
      </c>
      <c r="D168" s="13">
        <f>'GDP Source - Filtered'!D168</f>
        <v>1053.816538</v>
      </c>
      <c r="E168" s="17">
        <f t="shared" si="2"/>
        <v>6.960173651</v>
      </c>
      <c r="F168" s="17">
        <f>Parameters!$B$5</f>
        <v>5.593598707</v>
      </c>
      <c r="G168" s="17">
        <f>Parameters!$B$6</f>
        <v>11.66576274</v>
      </c>
      <c r="H168" s="12">
        <f t="shared" si="3"/>
        <v>22.505567</v>
      </c>
      <c r="I168" s="12">
        <f>'GDP Source - Filtered'!F168</f>
        <v>36.59081651</v>
      </c>
      <c r="J168" s="11" t="str">
        <f>'GDP Source - Filtered'!A168</f>
        <v>Togo</v>
      </c>
    </row>
    <row r="169" ht="13.5" customHeight="1">
      <c r="A169" s="16">
        <f t="shared" si="1"/>
        <v>168</v>
      </c>
      <c r="B169" s="11" t="str">
        <f>'GDP Source - Filtered'!E169</f>
        <v>Guinea</v>
      </c>
      <c r="C169" s="11" t="str">
        <f>'GDP Source - Filtered'!B169</f>
        <v>GIN</v>
      </c>
      <c r="D169" s="13">
        <f>'GDP Source - Filtered'!D169</f>
        <v>1045.922075</v>
      </c>
      <c r="E169" s="17">
        <f t="shared" si="2"/>
        <v>6.952654144</v>
      </c>
      <c r="F169" s="17">
        <f>Parameters!$B$5</f>
        <v>5.593598707</v>
      </c>
      <c r="G169" s="17">
        <f>Parameters!$B$6</f>
        <v>11.66576274</v>
      </c>
      <c r="H169" s="12">
        <f t="shared" si="3"/>
        <v>22.38173129</v>
      </c>
      <c r="I169" s="12">
        <f>'GDP Source - Filtered'!F169</f>
        <v>47.04163566</v>
      </c>
      <c r="J169" s="11" t="str">
        <f>'GDP Source - Filtered'!A169</f>
        <v>Guinea</v>
      </c>
    </row>
    <row r="170" ht="13.5" customHeight="1">
      <c r="A170" s="16">
        <f t="shared" si="1"/>
        <v>169</v>
      </c>
      <c r="B170" s="11" t="str">
        <f>'GDP Source - Filtered'!E170</f>
        <v>Rwanda</v>
      </c>
      <c r="C170" s="11" t="str">
        <f>'GDP Source - Filtered'!B170</f>
        <v>RWA</v>
      </c>
      <c r="D170" s="13">
        <f>'GDP Source - Filtered'!D170</f>
        <v>1043.159615</v>
      </c>
      <c r="E170" s="17">
        <f t="shared" si="2"/>
        <v>6.950009478</v>
      </c>
      <c r="F170" s="17">
        <f>Parameters!$B$5</f>
        <v>5.593598707</v>
      </c>
      <c r="G170" s="17">
        <f>Parameters!$B$6</f>
        <v>11.66576274</v>
      </c>
      <c r="H170" s="12">
        <f t="shared" si="3"/>
        <v>22.33817736</v>
      </c>
      <c r="I170" s="12">
        <f>'GDP Source - Filtered'!F170</f>
        <v>50.23263096</v>
      </c>
      <c r="J170" s="11" t="str">
        <f>'GDP Source - Filtered'!A170</f>
        <v>Rwanda</v>
      </c>
    </row>
    <row r="171" ht="13.5" customHeight="1">
      <c r="A171" s="16">
        <f t="shared" si="1"/>
        <v>170</v>
      </c>
      <c r="B171" s="11" t="str">
        <f>'GDP Source - Filtered'!E171</f>
        <v>Lesotho</v>
      </c>
      <c r="C171" s="11" t="str">
        <f>'GDP Source - Filtered'!B171</f>
        <v>LSO</v>
      </c>
      <c r="D171" s="13">
        <f>'GDP Source - Filtered'!D171</f>
        <v>1012.593795</v>
      </c>
      <c r="E171" s="17">
        <f t="shared" si="2"/>
        <v>6.920270432</v>
      </c>
      <c r="F171" s="17">
        <f>Parameters!$B$5</f>
        <v>5.593598707</v>
      </c>
      <c r="G171" s="17">
        <f>Parameters!$B$6</f>
        <v>11.66576274</v>
      </c>
      <c r="H171" s="12">
        <f t="shared" si="3"/>
        <v>21.84841711</v>
      </c>
      <c r="I171" s="12">
        <f>'GDP Source - Filtered'!F171</f>
        <v>24.56368778</v>
      </c>
      <c r="J171" s="11" t="str">
        <f>'GDP Source - Filtered'!A171</f>
        <v>Lesotho</v>
      </c>
    </row>
    <row r="172" ht="13.5" customHeight="1">
      <c r="A172" s="16">
        <f t="shared" si="1"/>
        <v>171</v>
      </c>
      <c r="B172" s="11" t="str">
        <f>'GDP Source - Filtered'!E172</f>
        <v>Uganda</v>
      </c>
      <c r="C172" s="11" t="str">
        <f>'GDP Source - Filtered'!B172</f>
        <v>UGA</v>
      </c>
      <c r="D172" s="13">
        <f>'GDP Source - Filtered'!D172</f>
        <v>986.0901454</v>
      </c>
      <c r="E172" s="17">
        <f t="shared" si="2"/>
        <v>6.893747776</v>
      </c>
      <c r="F172" s="17">
        <f>Parameters!$B$5</f>
        <v>5.593598707</v>
      </c>
      <c r="G172" s="17">
        <f>Parameters!$B$6</f>
        <v>11.66576274</v>
      </c>
      <c r="H172" s="12">
        <f t="shared" si="3"/>
        <v>21.41162627</v>
      </c>
      <c r="I172" s="12">
        <f>'GDP Source - Filtered'!F172</f>
        <v>51.03384222</v>
      </c>
      <c r="J172" s="11" t="str">
        <f>'GDP Source - Filtered'!A172</f>
        <v>Uganda</v>
      </c>
    </row>
    <row r="173" ht="13.5" customHeight="1">
      <c r="A173" s="16">
        <f t="shared" si="1"/>
        <v>172</v>
      </c>
      <c r="B173" s="11" t="str">
        <f>'GDP Source - Filtered'!E173</f>
        <v>Mali</v>
      </c>
      <c r="C173" s="11" t="str">
        <f>'GDP Source - Filtered'!B173</f>
        <v>MLI</v>
      </c>
      <c r="D173" s="13">
        <f>'GDP Source - Filtered'!D173</f>
        <v>910.3003763</v>
      </c>
      <c r="E173" s="17">
        <f t="shared" si="2"/>
        <v>6.813774629</v>
      </c>
      <c r="F173" s="17">
        <f>Parameters!$B$5</f>
        <v>5.593598707</v>
      </c>
      <c r="G173" s="17">
        <f>Parameters!$B$6</f>
        <v>11.66576274</v>
      </c>
      <c r="H173" s="12">
        <f t="shared" si="3"/>
        <v>20.09458104</v>
      </c>
      <c r="I173" s="12">
        <f>'GDP Source - Filtered'!F173</f>
        <v>29.14652526</v>
      </c>
      <c r="J173" s="11" t="str">
        <f>'GDP Source - Filtered'!A173</f>
        <v>Mali</v>
      </c>
    </row>
    <row r="174" ht="13.5" customHeight="1">
      <c r="A174" s="16">
        <f t="shared" si="1"/>
        <v>173</v>
      </c>
      <c r="B174" s="11" t="str">
        <f>'GDP Source - Filtered'!E174</f>
        <v>Ethiopia</v>
      </c>
      <c r="C174" s="11" t="str">
        <f>'GDP Source - Filtered'!B174</f>
        <v>ETH</v>
      </c>
      <c r="D174" s="13">
        <f>'GDP Source - Filtered'!D174</f>
        <v>883.4585886</v>
      </c>
      <c r="E174" s="17">
        <f t="shared" si="2"/>
        <v>6.783844419</v>
      </c>
      <c r="F174" s="17">
        <f>Parameters!$B$5</f>
        <v>5.593598707</v>
      </c>
      <c r="G174" s="17">
        <f>Parameters!$B$6</f>
        <v>11.66576274</v>
      </c>
      <c r="H174" s="12">
        <f t="shared" si="3"/>
        <v>19.60167258</v>
      </c>
      <c r="I174" s="12">
        <f>'GDP Source - Filtered'!F174</f>
        <v>51.5770239</v>
      </c>
      <c r="J174" s="11" t="str">
        <f>'GDP Source - Filtered'!A174</f>
        <v>Ethiopia</v>
      </c>
    </row>
    <row r="175" ht="13.5" customHeight="1">
      <c r="A175" s="16">
        <f t="shared" si="1"/>
        <v>174</v>
      </c>
      <c r="B175" s="11" t="str">
        <f>'GDP Source - Filtered'!E175</f>
        <v>Chad</v>
      </c>
      <c r="C175" s="11" t="str">
        <f>'GDP Source - Filtered'!B175</f>
        <v>TCD</v>
      </c>
      <c r="D175" s="13">
        <f>'GDP Source - Filtered'!D175</f>
        <v>855.9993532</v>
      </c>
      <c r="E175" s="17">
        <f t="shared" si="2"/>
        <v>6.752269621</v>
      </c>
      <c r="F175" s="17">
        <f>Parameters!$B$5</f>
        <v>5.593598707</v>
      </c>
      <c r="G175" s="17">
        <f>Parameters!$B$6</f>
        <v>11.66576274</v>
      </c>
      <c r="H175" s="12">
        <f t="shared" si="3"/>
        <v>19.08168007</v>
      </c>
      <c r="I175" s="12">
        <f>'GDP Source - Filtered'!F175</f>
        <v>100</v>
      </c>
      <c r="J175" s="11" t="str">
        <f>'GDP Source - Filtered'!A175</f>
        <v>Chad</v>
      </c>
    </row>
    <row r="176" ht="13.5" customHeight="1">
      <c r="A176" s="16">
        <f t="shared" si="1"/>
        <v>175</v>
      </c>
      <c r="B176" s="11" t="str">
        <f>'GDP Source - Filtered'!E176</f>
        <v>Guinea-Bissau</v>
      </c>
      <c r="C176" s="11" t="str">
        <f>'GDP Source - Filtered'!B176</f>
        <v>GNB</v>
      </c>
      <c r="D176" s="13">
        <f>'GDP Source - Filtered'!D176</f>
        <v>785.9102196</v>
      </c>
      <c r="E176" s="17">
        <f t="shared" si="2"/>
        <v>6.666842561</v>
      </c>
      <c r="F176" s="17">
        <f>Parameters!$B$5</f>
        <v>5.593598707</v>
      </c>
      <c r="G176" s="17">
        <f>Parameters!$B$6</f>
        <v>11.66576274</v>
      </c>
      <c r="H176" s="12">
        <f t="shared" si="3"/>
        <v>17.67481658</v>
      </c>
      <c r="I176" s="12">
        <f>'GDP Source - Filtered'!F176</f>
        <v>34.17941452</v>
      </c>
      <c r="J176" s="11" t="str">
        <f>'GDP Source - Filtered'!A176</f>
        <v>Guinea-Bissau</v>
      </c>
    </row>
    <row r="177" ht="13.5" customHeight="1">
      <c r="A177" s="16">
        <f t="shared" si="1"/>
        <v>176</v>
      </c>
      <c r="B177" s="11" t="str">
        <f>'GDP Source - Filtered'!E177</f>
        <v>Burkina Faso</v>
      </c>
      <c r="C177" s="11" t="str">
        <f>'GDP Source - Filtered'!B177</f>
        <v>BFA</v>
      </c>
      <c r="D177" s="13">
        <f>'GDP Source - Filtered'!D177</f>
        <v>764.0826256</v>
      </c>
      <c r="E177" s="17">
        <f t="shared" si="2"/>
        <v>6.638675932</v>
      </c>
      <c r="F177" s="17">
        <f>Parameters!$B$5</f>
        <v>5.593598707</v>
      </c>
      <c r="G177" s="17">
        <f>Parameters!$B$6</f>
        <v>11.66576274</v>
      </c>
      <c r="H177" s="12">
        <f t="shared" si="3"/>
        <v>17.21095181</v>
      </c>
      <c r="I177" s="12">
        <f>'GDP Source - Filtered'!F177</f>
        <v>35.1850311</v>
      </c>
      <c r="J177" s="11" t="str">
        <f>'GDP Source - Filtered'!A177</f>
        <v>Burkina Faso</v>
      </c>
    </row>
    <row r="178" ht="13.5" customHeight="1">
      <c r="A178" s="16">
        <f t="shared" si="1"/>
        <v>177</v>
      </c>
      <c r="B178" s="11" t="str">
        <f>'GDP Source - Filtered'!E178</f>
        <v>Gambia</v>
      </c>
      <c r="C178" s="11" t="str">
        <f>'GDP Source - Filtered'!B178</f>
        <v>GMB</v>
      </c>
      <c r="D178" s="13">
        <f>'GDP Source - Filtered'!D178</f>
        <v>758.9658888</v>
      </c>
      <c r="E178" s="17">
        <f t="shared" si="2"/>
        <v>6.631956834</v>
      </c>
      <c r="F178" s="17">
        <f>Parameters!$B$5</f>
        <v>5.593598707</v>
      </c>
      <c r="G178" s="17">
        <f>Parameters!$B$6</f>
        <v>11.66576274</v>
      </c>
      <c r="H178" s="12">
        <f t="shared" si="3"/>
        <v>17.10029772</v>
      </c>
      <c r="I178" s="12">
        <f>'GDP Source - Filtered'!F178</f>
        <v>40.96575616</v>
      </c>
      <c r="J178" s="11" t="str">
        <f>'GDP Source - Filtered'!A178</f>
        <v>Gambia, The</v>
      </c>
    </row>
    <row r="179" ht="13.5" customHeight="1">
      <c r="A179" s="16">
        <f t="shared" si="1"/>
        <v>178</v>
      </c>
      <c r="B179" s="11" t="str">
        <f>'GDP Source - Filtered'!E179</f>
        <v>Liberia</v>
      </c>
      <c r="C179" s="11" t="str">
        <f>'GDP Source - Filtered'!B179</f>
        <v>LBR</v>
      </c>
      <c r="D179" s="13">
        <f>'GDP Source - Filtered'!D179</f>
        <v>665.1013376</v>
      </c>
      <c r="E179" s="17">
        <f t="shared" si="2"/>
        <v>6.499939416</v>
      </c>
      <c r="F179" s="17">
        <f>Parameters!$B$5</f>
        <v>5.593598707</v>
      </c>
      <c r="G179" s="17">
        <f>Parameters!$B$6</f>
        <v>11.66576274</v>
      </c>
      <c r="H179" s="12">
        <f t="shared" si="3"/>
        <v>14.92615656</v>
      </c>
      <c r="I179" s="12">
        <f>'GDP Source - Filtered'!F179</f>
        <v>40.63529466</v>
      </c>
      <c r="J179" s="11" t="str">
        <f>'GDP Source - Filtered'!A179</f>
        <v>Liberia</v>
      </c>
    </row>
    <row r="180" ht="13.5" customHeight="1">
      <c r="A180" s="16">
        <f t="shared" si="1"/>
        <v>179</v>
      </c>
      <c r="B180" s="11" t="str">
        <f>'GDP Source - Filtered'!E180</f>
        <v>Mozambique</v>
      </c>
      <c r="C180" s="11" t="str">
        <f>'GDP Source - Filtered'!B180</f>
        <v>MOZ</v>
      </c>
      <c r="D180" s="13">
        <f>'GDP Source - Filtered'!D180</f>
        <v>605.7634814</v>
      </c>
      <c r="E180" s="17">
        <f t="shared" si="2"/>
        <v>6.406489615</v>
      </c>
      <c r="F180" s="17">
        <f>Parameters!$B$5</f>
        <v>5.593598707</v>
      </c>
      <c r="G180" s="17">
        <f>Parameters!$B$6</f>
        <v>11.66576274</v>
      </c>
      <c r="H180" s="12">
        <f t="shared" si="3"/>
        <v>13.38716978</v>
      </c>
      <c r="I180" s="12">
        <f>'GDP Source - Filtered'!F180</f>
        <v>100</v>
      </c>
      <c r="J180" s="11" t="str">
        <f>'GDP Source - Filtered'!A180</f>
        <v>Mozambique</v>
      </c>
    </row>
    <row r="181" ht="13.5" customHeight="1">
      <c r="A181" s="16">
        <f t="shared" si="1"/>
        <v>180</v>
      </c>
      <c r="B181" s="11" t="str">
        <f>'GDP Source - Filtered'!E181</f>
        <v>Niger</v>
      </c>
      <c r="C181" s="11" t="str">
        <f>'GDP Source - Filtered'!B181</f>
        <v>NER</v>
      </c>
      <c r="D181" s="13">
        <f>'GDP Source - Filtered'!D181</f>
        <v>589.0856433</v>
      </c>
      <c r="E181" s="17">
        <f t="shared" si="2"/>
        <v>6.378571578</v>
      </c>
      <c r="F181" s="17">
        <f>Parameters!$B$5</f>
        <v>5.593598707</v>
      </c>
      <c r="G181" s="17">
        <f>Parameters!$B$6</f>
        <v>11.66576274</v>
      </c>
      <c r="H181" s="12">
        <f t="shared" si="3"/>
        <v>12.92739898</v>
      </c>
      <c r="I181" s="12">
        <f>'GDP Source - Filtered'!F181</f>
        <v>100</v>
      </c>
      <c r="J181" s="11" t="str">
        <f>'GDP Source - Filtered'!A181</f>
        <v>Niger</v>
      </c>
    </row>
    <row r="182" ht="13.5" customHeight="1">
      <c r="A182" s="16">
        <f t="shared" si="1"/>
        <v>181</v>
      </c>
      <c r="B182" s="11" t="str">
        <f>'GDP Source - Filtered'!E182</f>
        <v>Sudan</v>
      </c>
      <c r="C182" s="11" t="str">
        <f>'GDP Source - Filtered'!B182</f>
        <v>SDN</v>
      </c>
      <c r="D182" s="13">
        <f>'GDP Source - Filtered'!D182</f>
        <v>578.3891602</v>
      </c>
      <c r="E182" s="17">
        <f t="shared" si="2"/>
        <v>6.36024693</v>
      </c>
      <c r="F182" s="17">
        <f>Parameters!$B$5</f>
        <v>5.593598707</v>
      </c>
      <c r="G182" s="17">
        <f>Parameters!$B$6</f>
        <v>11.66576274</v>
      </c>
      <c r="H182" s="12">
        <f t="shared" si="3"/>
        <v>12.6256178</v>
      </c>
      <c r="I182" s="12">
        <f>'GDP Source - Filtered'!F182</f>
        <v>62.97831952</v>
      </c>
      <c r="J182" s="11" t="str">
        <f>'GDP Source - Filtered'!A182</f>
        <v>Sudan</v>
      </c>
    </row>
    <row r="183" ht="13.5" customHeight="1">
      <c r="A183" s="16">
        <f t="shared" si="1"/>
        <v>182</v>
      </c>
      <c r="B183" s="11" t="str">
        <f>'GDP Source - Filtered'!E183</f>
        <v>Dem. Rep. of the Congo</v>
      </c>
      <c r="C183" s="11" t="str">
        <f>'GDP Source - Filtered'!B183</f>
        <v>COD</v>
      </c>
      <c r="D183" s="13">
        <f>'GDP Source - Filtered'!D183</f>
        <v>554.11761</v>
      </c>
      <c r="E183" s="17">
        <f t="shared" si="2"/>
        <v>6.317376957</v>
      </c>
      <c r="F183" s="17">
        <f>Parameters!$B$5</f>
        <v>5.593598707</v>
      </c>
      <c r="G183" s="17">
        <f>Parameters!$B$6</f>
        <v>11.66576274</v>
      </c>
      <c r="H183" s="12">
        <f t="shared" si="3"/>
        <v>11.91960965</v>
      </c>
      <c r="I183" s="12">
        <f>'GDP Source - Filtered'!F183</f>
        <v>85.48479967</v>
      </c>
      <c r="J183" s="11" t="str">
        <f>'GDP Source - Filtered'!A183</f>
        <v>Congo, Dem. Rep.</v>
      </c>
    </row>
    <row r="184" ht="13.5" customHeight="1">
      <c r="A184" s="16">
        <f t="shared" si="1"/>
        <v>183</v>
      </c>
      <c r="B184" s="11" t="str">
        <f>'GDP Source - Filtered'!E184</f>
        <v>Malawi</v>
      </c>
      <c r="C184" s="11" t="str">
        <f>'GDP Source - Filtered'!B184</f>
        <v>MWI</v>
      </c>
      <c r="D184" s="13">
        <f>'GDP Source - Filtered'!D184</f>
        <v>551.9515235</v>
      </c>
      <c r="E184" s="17">
        <f t="shared" si="2"/>
        <v>6.313460223</v>
      </c>
      <c r="F184" s="17">
        <f>Parameters!$B$5</f>
        <v>5.593598707</v>
      </c>
      <c r="G184" s="17">
        <f>Parameters!$B$6</f>
        <v>11.66576274</v>
      </c>
      <c r="H184" s="12">
        <f t="shared" si="3"/>
        <v>11.85510655</v>
      </c>
      <c r="I184" s="12">
        <f>'GDP Source - Filtered'!F184</f>
        <v>55.07876423</v>
      </c>
      <c r="J184" s="11" t="str">
        <f>'GDP Source - Filtered'!A184</f>
        <v>Malawi</v>
      </c>
    </row>
    <row r="185" ht="13.5" customHeight="1">
      <c r="A185" s="16">
        <f t="shared" si="1"/>
        <v>184</v>
      </c>
      <c r="B185" s="11" t="str">
        <f>'GDP Source - Filtered'!E185</f>
        <v>Somalia</v>
      </c>
      <c r="C185" s="11" t="str">
        <f>'GDP Source - Filtered'!B185</f>
        <v>SOM</v>
      </c>
      <c r="D185" s="13">
        <f>'GDP Source - Filtered'!D185</f>
        <v>467.2699102</v>
      </c>
      <c r="E185" s="17">
        <f t="shared" si="2"/>
        <v>6.146907057</v>
      </c>
      <c r="F185" s="17">
        <f>Parameters!$B$5</f>
        <v>5.593598707</v>
      </c>
      <c r="G185" s="17">
        <f>Parameters!$B$6</f>
        <v>11.66576274</v>
      </c>
      <c r="H185" s="12">
        <f t="shared" si="3"/>
        <v>9.1122102</v>
      </c>
      <c r="I185" s="12">
        <f>'GDP Source - Filtered'!F185</f>
        <v>28.42512941</v>
      </c>
      <c r="J185" s="11" t="str">
        <f>'GDP Source - Filtered'!A185</f>
        <v>Somalia, Fed. Rep.</v>
      </c>
    </row>
    <row r="186" ht="13.5" customHeight="1">
      <c r="A186" s="16">
        <f t="shared" si="1"/>
        <v>185</v>
      </c>
      <c r="B186" s="11" t="str">
        <f>'GDP Source - Filtered'!E186</f>
        <v>Madagascar</v>
      </c>
      <c r="C186" s="11" t="str">
        <f>'GDP Source - Filtered'!B186</f>
        <v>MDG</v>
      </c>
      <c r="D186" s="13">
        <f>'GDP Source - Filtered'!D186</f>
        <v>453.9578097</v>
      </c>
      <c r="E186" s="17">
        <f t="shared" si="2"/>
        <v>6.118004264</v>
      </c>
      <c r="F186" s="17">
        <f>Parameters!$B$5</f>
        <v>5.593598707</v>
      </c>
      <c r="G186" s="17">
        <f>Parameters!$B$6</f>
        <v>11.66576274</v>
      </c>
      <c r="H186" s="12">
        <f t="shared" si="3"/>
        <v>8.636221851</v>
      </c>
      <c r="I186" s="12">
        <f>'GDP Source - Filtered'!F186</f>
        <v>39.88536274</v>
      </c>
      <c r="J186" s="11" t="str">
        <f>'GDP Source - Filtered'!A186</f>
        <v>Madagascar</v>
      </c>
    </row>
    <row r="187" ht="13.5" customHeight="1">
      <c r="A187" s="16">
        <f t="shared" si="1"/>
        <v>186</v>
      </c>
      <c r="B187" s="11" t="str">
        <f>'GDP Source - Filtered'!E187</f>
        <v>Central African Rep.</v>
      </c>
      <c r="C187" s="11" t="str">
        <f>'GDP Source - Filtered'!B187</f>
        <v>CAF</v>
      </c>
      <c r="D187" s="13">
        <f>'GDP Source - Filtered'!D187</f>
        <v>389.938308</v>
      </c>
      <c r="E187" s="17">
        <f t="shared" si="2"/>
        <v>5.965988542</v>
      </c>
      <c r="F187" s="17">
        <f>Parameters!$B$5</f>
        <v>5.593598707</v>
      </c>
      <c r="G187" s="17">
        <f>Parameters!$B$6</f>
        <v>11.66576274</v>
      </c>
      <c r="H187" s="12">
        <f t="shared" si="3"/>
        <v>6.132736755</v>
      </c>
      <c r="I187" s="12">
        <f>'GDP Source - Filtered'!F187</f>
        <v>34.5393619</v>
      </c>
      <c r="J187" s="11" t="str">
        <f>'GDP Source - Filtered'!A187</f>
        <v>Central African Republic</v>
      </c>
    </row>
    <row r="188" ht="13.5" customHeight="1">
      <c r="A188" s="16">
        <f t="shared" si="1"/>
        <v>187</v>
      </c>
      <c r="B188" s="11" t="str">
        <f>'GDP Source - Filtered'!E188</f>
        <v>Afghanistan</v>
      </c>
      <c r="C188" s="11" t="str">
        <f>'GDP Source - Filtered'!B188</f>
        <v>AFG</v>
      </c>
      <c r="D188" s="13">
        <f>'GDP Source - Filtered'!D188</f>
        <v>374.3766962</v>
      </c>
      <c r="E188" s="17">
        <f t="shared" si="2"/>
        <v>5.9252625</v>
      </c>
      <c r="F188" s="17">
        <f>Parameters!$B$5</f>
        <v>5.593598707</v>
      </c>
      <c r="G188" s="17">
        <f>Parameters!$B$6</f>
        <v>11.66576274</v>
      </c>
      <c r="H188" s="12">
        <f t="shared" si="3"/>
        <v>5.462036126</v>
      </c>
      <c r="I188" s="12">
        <f>'GDP Source - Filtered'!F188</f>
        <v>39.76537199</v>
      </c>
      <c r="J188" s="11" t="str">
        <f>'GDP Source - Filtered'!A188</f>
        <v>Afghanistan</v>
      </c>
    </row>
    <row r="189" ht="13.5" customHeight="1">
      <c r="A189" s="16">
        <f t="shared" si="1"/>
        <v>188</v>
      </c>
      <c r="B189" s="11" t="str">
        <f>'GDP Source - Filtered'!E189</f>
        <v>Burundi</v>
      </c>
      <c r="C189" s="11" t="str">
        <f>'GDP Source - Filtered'!B189</f>
        <v>BDI</v>
      </c>
      <c r="D189" s="13">
        <f>'GDP Source - Filtered'!D189</f>
        <v>268.7008574</v>
      </c>
      <c r="E189" s="17">
        <f t="shared" si="2"/>
        <v>5.593598707</v>
      </c>
      <c r="F189" s="17">
        <f>Parameters!$B$5</f>
        <v>5.593598707</v>
      </c>
      <c r="G189" s="17">
        <f>Parameters!$B$6</f>
        <v>11.66576274</v>
      </c>
      <c r="H189" s="12">
        <f t="shared" si="3"/>
        <v>0</v>
      </c>
      <c r="I189" s="12">
        <f>'GDP Source - Filtered'!F189</f>
        <v>40.13939853</v>
      </c>
      <c r="J189" s="11" t="str">
        <f>'GDP Source - Filtered'!A189</f>
        <v>Burundi</v>
      </c>
    </row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H2:H189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dataValidations>
    <dataValidation type="custom" allowBlank="1" showDropDown="1" sqref="A2:A189 D2:I189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